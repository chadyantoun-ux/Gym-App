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Log" sheetId="2" state="visible" r:id="rId4"/>
    <sheet name="Bodyweight" sheetId="3" state="visible" r:id="rId5"/>
    <sheet name="Progress" sheetId="4" state="visible" r:id="rId6"/>
    <sheet name="Diet" sheetId="5" state="visible" r:id="rId7"/>
    <sheet name="Program"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<sst xmlns="http://schemas.openxmlformats.org/spreadsheetml/2006/main" count="349" uniqueCount="168">
  <si>
    <t xml:space="preserve">PHAT training log — how this works</t>
  </si>
  <si>
    <t xml:space="preserve">Log</t>
  </si>
  <si>
    <t xml:space="preserve">The only tab you type into during a session. One row per set. Pick the Day and Exercise from the dropdown, type weight and reps. Volume calculates itself.</t>
  </si>
  <si>
    <t xml:space="preserve">Bodyweight</t>
  </si>
  <si>
    <t xml:space="preserve">One row per morning. The 7-day average, weekly change and the calorie decision all calculate themselves.</t>
  </si>
  <si>
    <t xml:space="preserve">Progress</t>
  </si>
  <si>
    <t xml:space="preserve">Your top set on the four lifts that decide whether this is working. Set your start date in B4 and it fills in from the Log.</t>
  </si>
  <si>
    <t xml:space="preserve">Program</t>
  </si>
  <si>
    <t xml:space="preserve">The full PHAT prescription — sets, rep ranges and the technique cue for each exercise. Reference only, don't edit.</t>
  </si>
  <si>
    <t xml:space="preserve">Diet</t>
  </si>
  <si>
    <t xml:space="preserve">Macro targets for training and rest days. Reference only.</t>
  </si>
  <si>
    <t xml:space="preserve">Cells to fill</t>
  </si>
  <si>
    <t xml:space="preserve">Anything shaded pale yellow. Everything else is a formula — leave it alone.</t>
  </si>
  <si>
    <t xml:space="preserve">Rows marked *</t>
  </si>
  <si>
    <t xml:space="preserve">In the Program tab, an exercise marked * is cut for weeks 1–4. Add it back from week 5 if recovery is holding.</t>
  </si>
  <si>
    <t xml:space="preserve">The check that matters</t>
  </si>
  <si>
    <t xml:space="preserve">At week 6, look at the Progress tab. If the top set on Row, Bench, Squat and Deadlift has not moved above week 1, the programme is not the problem — the effort or the food is.</t>
  </si>
  <si>
    <t xml:space="preserve">Session log</t>
  </si>
  <si>
    <t xml:space="preserve">One row per set. Yellow columns are yours; Volume calculates itself.</t>
  </si>
  <si>
    <t xml:space="preserve">↓ row 5 is an example — overwrite it</t>
  </si>
  <si>
    <t xml:space="preserve">Date</t>
  </si>
  <si>
    <t xml:space="preserve">Day</t>
  </si>
  <si>
    <t xml:space="preserve">Exercise</t>
  </si>
  <si>
    <t xml:space="preserve">Set #</t>
  </si>
  <si>
    <t xml:space="preserve">Weight (kg)</t>
  </si>
  <si>
    <t xml:space="preserve">Reps</t>
  </si>
  <si>
    <t xml:space="preserve">Volume (kg)</t>
  </si>
  <si>
    <t xml:space="preserve">RIR</t>
  </si>
  <si>
    <t xml:space="preserve">Note</t>
  </si>
  <si>
    <t xml:space="preserve">2026-09-10</t>
  </si>
  <si>
    <t xml:space="preserve">Day 1 — Upper power</t>
  </si>
  <si>
    <t xml:space="preserve">Bent-over row</t>
  </si>
  <si>
    <t xml:space="preserve">felt easy, go 92.5 next</t>
  </si>
  <si>
    <t xml:space="preserve">Same time, same conditions, every morning. Target: 0.2–0.3 kg per week.</t>
  </si>
  <si>
    <t xml:space="preserve">7-day average</t>
  </si>
  <si>
    <t xml:space="preserve">Change vs last week</t>
  </si>
  <si>
    <t xml:space="preserve">What to do</t>
  </si>
  <si>
    <t xml:space="preserve">Top sets — the accountability view</t>
  </si>
  <si>
    <t xml:space="preserve">Heaviest single set logged that week, pulled from the Log tab.</t>
  </si>
  <si>
    <t xml:space="preserve">Programme start (Monday of week 1):</t>
  </si>
  <si>
    <t xml:space="preserve">2026-09-14</t>
  </si>
  <si>
    <t xml:space="preserve">← set this once</t>
  </si>
  <si>
    <t xml:space="preserve">Week</t>
  </si>
  <si>
    <t xml:space="preserve">Week starting</t>
  </si>
  <si>
    <t xml:space="preserve">Flat DB press</t>
  </si>
  <si>
    <t xml:space="preserve">Squat</t>
  </si>
  <si>
    <t xml:space="preserve">Stiff-leg deadlift</t>
  </si>
  <si>
    <t xml:space="preserve">Total volume (kg)</t>
  </si>
  <si>
    <t xml:space="preserve">Week 6 check — if none of these four columns is higher than week 1, the split is not the problem and neither is the diet. Either the sets are not close enough to failure, or you are not eating enough. Fix one, not both, and give it three weeks.</t>
  </si>
  <si>
    <t xml:space="preserve">Bulk targets — 85 kg, 180 cm</t>
  </si>
  <si>
    <t xml:space="preserve">Estimated maintenance ~2,700 kcal. Verify against the Bodyweight tab, not the formula.</t>
  </si>
  <si>
    <t xml:space="preserve">Training days (5)</t>
  </si>
  <si>
    <t xml:space="preserve">Rest days (2)</t>
  </si>
  <si>
    <t xml:space="preserve">Notes</t>
  </si>
  <si>
    <t xml:space="preserve">Calories</t>
  </si>
  <si>
    <t xml:space="preserve">3,200 kcal</t>
  </si>
  <si>
    <t xml:space="preserve">2,500 kcal</t>
  </si>
  <si>
    <t xml:space="preserve">Weekly average lands near 3,000 — roughly +300 over maintenance.</t>
  </si>
  <si>
    <t xml:space="preserve">Protein</t>
  </si>
  <si>
    <t xml:space="preserve">170 g</t>
  </si>
  <si>
    <t xml:space="preserve">175 g</t>
  </si>
  <si>
    <t xml:space="preserve">Non-negotiable every day. Muscle protein synthesis does not take rest days.</t>
  </si>
  <si>
    <t xml:space="preserve">Carbohydrate</t>
  </si>
  <si>
    <t xml:space="preserve">300 g</t>
  </si>
  <si>
    <t xml:space="preserve">60 g</t>
  </si>
  <si>
    <t xml:space="preserve">On training days: ~80–100 g in the meal 2 h before, ~80–100 g after.</t>
  </si>
  <si>
    <t xml:space="preserve">Fat</t>
  </si>
  <si>
    <t xml:space="preserve">145 g</t>
  </si>
  <si>
    <t xml:space="preserve">Weigh your fats for the first two weeks — high-fat days are easy to overshoot.</t>
  </si>
  <si>
    <t xml:space="preserve">Rest days fall on</t>
  </si>
  <si>
    <t xml:space="preserve">Wed and Sun</t>
  </si>
  <si>
    <t xml:space="preserve">Matches the two non-training days in the PHAT week.</t>
  </si>
  <si>
    <t xml:space="preserve">Creatine</t>
  </si>
  <si>
    <t xml:space="preserve">5 g daily</t>
  </si>
  <si>
    <t xml:space="preserve">Works regardless of carb timing.</t>
  </si>
  <si>
    <t xml:space="preserve">Expected rate</t>
  </si>
  <si>
    <t xml:space="preserve">+0.2–0.3 kg/week</t>
  </si>
  <si>
    <t xml:space="preserve">Anything faster is fat. The Bodyweight tab tells you which.</t>
  </si>
  <si>
    <t xml:space="preserve">These are starting estimates from height, weight and training load — not measurements. The two-week trend on the Bodyweight tab overrides them.</t>
  </si>
  <si>
    <t xml:space="preserve">PHAT — 5 days per week</t>
  </si>
  <si>
    <t xml:space="preserve">Reference only. * = cut for weeks 1–4.</t>
  </si>
  <si>
    <t xml:space="preserve">Sets</t>
  </si>
  <si>
    <t xml:space="preserve">Type</t>
  </si>
  <si>
    <t xml:space="preserve">Technique cue</t>
  </si>
  <si>
    <t xml:space="preserve">(dropdown source — exercises)</t>
  </si>
  <si>
    <t xml:space="preserve">(dropdown source — days)</t>
  </si>
  <si>
    <t xml:space="preserve">3–5</t>
  </si>
  <si>
    <t xml:space="preserve">power</t>
  </si>
  <si>
    <t xml:space="preserve">Torso stays fixed. Pull to the lower ribs, not the collarbone.</t>
  </si>
  <si>
    <t xml:space="preserve">Weighted pull-up</t>
  </si>
  <si>
    <t xml:space="preserve">6–10</t>
  </si>
  <si>
    <t xml:space="preserve">Start from a full dead hang. Chest toward the bar, not chin over it.</t>
  </si>
  <si>
    <t xml:space="preserve">Cambered bar curl</t>
  </si>
  <si>
    <t xml:space="preserve">Day 2 — Lower power</t>
  </si>
  <si>
    <t xml:space="preserve">Rack chin *</t>
  </si>
  <si>
    <t xml:space="preserve">Cambered bar preacher curl</t>
  </si>
  <si>
    <t xml:space="preserve">Day 3 — Back &amp; shoulders</t>
  </si>
  <si>
    <t xml:space="preserve">Elbows about 45° from the torso. Touch, don't bounce.</t>
  </si>
  <si>
    <t xml:space="preserve">Close-grip bench</t>
  </si>
  <si>
    <t xml:space="preserve">Day 4 — Lower hypertrophy</t>
  </si>
  <si>
    <t xml:space="preserve">Weighted dip</t>
  </si>
  <si>
    <t xml:space="preserve">Lean forward slightly. Stop when the upper arm reaches parallel.</t>
  </si>
  <si>
    <t xml:space="preserve">Close-grip pulldown</t>
  </si>
  <si>
    <t xml:space="preserve">Day 5 — Chest &amp; arms</t>
  </si>
  <si>
    <t xml:space="preserve">Seated DB shoulder press</t>
  </si>
  <si>
    <t xml:space="preserve">Ribs down. Don't arch the lower back to finish the rep.</t>
  </si>
  <si>
    <t xml:space="preserve">DB concentration curl</t>
  </si>
  <si>
    <t xml:space="preserve">Elbows pinned to your sides. If the hips move, the weight is too heavy.</t>
  </si>
  <si>
    <t xml:space="preserve">DB row or shrug</t>
  </si>
  <si>
    <t xml:space="preserve">Skull crusher</t>
  </si>
  <si>
    <t xml:space="preserve">Only the forearm moves. The upper arm stays exactly where it started.</t>
  </si>
  <si>
    <t xml:space="preserve">Donkey calf raise</t>
  </si>
  <si>
    <t xml:space="preserve">Knees track over the toes. Hit depth before you add weight.</t>
  </si>
  <si>
    <t xml:space="preserve">Hack squat</t>
  </si>
  <si>
    <t xml:space="preserve">Knees track over the toes. Full range before you add weight.</t>
  </si>
  <si>
    <t xml:space="preserve">Flat DB press — speed work</t>
  </si>
  <si>
    <t xml:space="preserve">Leg extension *</t>
  </si>
  <si>
    <t xml:space="preserve">Pause at the top. The lowering half is where the growth is.</t>
  </si>
  <si>
    <t xml:space="preserve">Glute-ham raise or lying leg curl</t>
  </si>
  <si>
    <t xml:space="preserve">5–8</t>
  </si>
  <si>
    <t xml:space="preserve">Push the hips back. The bar stays against your legs.</t>
  </si>
  <si>
    <t xml:space="preserve">Hips stay extended. Control the lengthening half.</t>
  </si>
  <si>
    <t xml:space="preserve">Incline DB press</t>
  </si>
  <si>
    <t xml:space="preserve">Standing calf raise</t>
  </si>
  <si>
    <t xml:space="preserve">Full stretch at the bottom, full pause at the top. Half reps do nothing.</t>
  </si>
  <si>
    <t xml:space="preserve">Incline cable fly</t>
  </si>
  <si>
    <t xml:space="preserve">Seated calf raise</t>
  </si>
  <si>
    <t xml:space="preserve">Lateral raise</t>
  </si>
  <si>
    <t xml:space="preserve">Row — speed work</t>
  </si>
  <si>
    <t xml:space="preserve">3</t>
  </si>
  <si>
    <t xml:space="preserve">speed</t>
  </si>
  <si>
    <t xml:space="preserve">Submaximal and fast. 65–70% of your power-day top set. Never grind these.</t>
  </si>
  <si>
    <t xml:space="preserve">Leg extension</t>
  </si>
  <si>
    <t xml:space="preserve">Rack chin</t>
  </si>
  <si>
    <t xml:space="preserve">8–12</t>
  </si>
  <si>
    <t xml:space="preserve">hyp</t>
  </si>
  <si>
    <t xml:space="preserve">Leg press</t>
  </si>
  <si>
    <t xml:space="preserve">Seated cable row</t>
  </si>
  <si>
    <t xml:space="preserve">Lying leg curl</t>
  </si>
  <si>
    <t xml:space="preserve">DB row or shrug *</t>
  </si>
  <si>
    <t xml:space="preserve">12–15</t>
  </si>
  <si>
    <t xml:space="preserve">Machine chest press</t>
  </si>
  <si>
    <t xml:space="preserve">15–20</t>
  </si>
  <si>
    <t xml:space="preserve">Full stretch overhead. Drive the elbows down, not back.</t>
  </si>
  <si>
    <t xml:space="preserve">Seated DB press</t>
  </si>
  <si>
    <t xml:space="preserve">Romanian deadlift</t>
  </si>
  <si>
    <t xml:space="preserve">Upright row *</t>
  </si>
  <si>
    <t xml:space="preserve">Keep the grip wide — narrow grips grind the shoulder. Pull to the lower chest.</t>
  </si>
  <si>
    <t xml:space="preserve">Rope pressdown</t>
  </si>
  <si>
    <t xml:space="preserve">12–20</t>
  </si>
  <si>
    <t xml:space="preserve">Lead with the elbow, not the hand. Stop at shoulder height.</t>
  </si>
  <si>
    <t xml:space="preserve">Squat — speed work</t>
  </si>
  <si>
    <t xml:space="preserve">Leg press *</t>
  </si>
  <si>
    <t xml:space="preserve">Do not let the lower back round off the pad at the bottom.</t>
  </si>
  <si>
    <t xml:space="preserve">Seated leg curl</t>
  </si>
  <si>
    <t xml:space="preserve">Hips flat on the pad. If they lift off, drop the weight.</t>
  </si>
  <si>
    <t xml:space="preserve">Seated leg curl *</t>
  </si>
  <si>
    <t xml:space="preserve">Hips flat. Full stretch at the top of each rep.</t>
  </si>
  <si>
    <t xml:space="preserve">Spider curl</t>
  </si>
  <si>
    <t xml:space="preserve">10–15</t>
  </si>
  <si>
    <t xml:space="preserve">Elbows about 45° from the torso. Control the return.</t>
  </si>
  <si>
    <t xml:space="preserve">Upright row</t>
  </si>
  <si>
    <t xml:space="preserve">Incline cable fly *</t>
  </si>
  <si>
    <t xml:space="preserve">Slight elbow bend, held throughout. Stretch under control — don't drop into it.</t>
  </si>
  <si>
    <t xml:space="preserve">Elbows pinned. No swinging.</t>
  </si>
  <si>
    <t xml:space="preserve">Spider curl *</t>
  </si>
  <si>
    <t xml:space="preserve">Elbows tucked. Bar to the lower chest.</t>
  </si>
  <si>
    <t xml:space="preserve">Rope pressdown *</t>
  </si>
</sst>
</file>

<file path=xl/styles.xml><?xml version="1.0" encoding="utf-8"?>
<styleSheet xmlns="http://schemas.openxmlformats.org/spreadsheetml/2006/main">
  <numFmts count="6">
    <numFmt numFmtId="164" formatCode="General"/>
    <numFmt numFmtId="165" formatCode="yyyy\-mm\-dd"/>
    <numFmt numFmtId="166" formatCode="#,##0"/>
    <numFmt numFmtId="167" formatCode="0.0"/>
    <numFmt numFmtId="168" formatCode="\+0.00;\-0.00;0.00"/>
    <numFmt numFmtId="169" formatCode="#,##0.0"/>
  </numFmts>
  <fonts count="16">
    <font>
      <sz val="11"/>
      <color theme="1"/>
      <name val="Calibri"/>
      <family val="2"/>
      <charset val="1"/>
    </font>
    <font>
      <sz val="10"/>
      <name val="Arial"/>
      <family val="0"/>
    </font>
    <font>
      <sz val="10"/>
      <name val="Arial"/>
      <family val="0"/>
    </font>
    <font>
      <sz val="10"/>
      <name val="Arial"/>
      <family val="0"/>
    </font>
    <font>
      <b val="true"/>
      <sz val="14"/>
      <color rgb="FF1A1A1A"/>
      <name val="Arial"/>
      <family val="0"/>
      <charset val="1"/>
    </font>
    <font>
      <b val="true"/>
      <sz val="10"/>
      <color rgb="FF1A1A1A"/>
      <name val="Arial"/>
      <family val="0"/>
      <charset val="1"/>
    </font>
    <font>
      <sz val="10"/>
      <color rgb="FF1A1A1A"/>
      <name val="Arial"/>
      <family val="0"/>
      <charset val="1"/>
    </font>
    <font>
      <i val="true"/>
      <sz val="9.5"/>
      <color rgb="FF6B6B6B"/>
      <name val="Arial"/>
      <family val="0"/>
      <charset val="1"/>
    </font>
    <font>
      <i val="true"/>
      <sz val="9"/>
      <color rgb="FF6B6B6B"/>
      <name val="Arial"/>
      <family val="0"/>
      <charset val="1"/>
    </font>
    <font>
      <b val="true"/>
      <sz val="10"/>
      <color rgb="FFFFFFFF"/>
      <name val="Arial"/>
      <family val="0"/>
      <charset val="1"/>
    </font>
    <font>
      <i val="true"/>
      <sz val="10"/>
      <color rgb="FF9A6B00"/>
      <name val="Arial"/>
      <family val="0"/>
      <charset val="1"/>
    </font>
    <font>
      <sz val="10"/>
      <color rgb="FF0000FF"/>
      <name val="Arial"/>
      <family val="0"/>
      <charset val="1"/>
    </font>
    <font>
      <b val="true"/>
      <sz val="10"/>
      <color rgb="FF0000FF"/>
      <name val="Arial"/>
      <family val="0"/>
      <charset val="1"/>
    </font>
    <font>
      <b val="true"/>
      <sz val="10"/>
      <color rgb="FF9E4A3F"/>
      <name val="Arial"/>
      <family val="0"/>
      <charset val="1"/>
    </font>
    <font>
      <b val="true"/>
      <sz val="9"/>
      <color rgb="FF6B6B6B"/>
      <name val="Arial"/>
      <family val="0"/>
      <charset val="1"/>
    </font>
    <font>
      <sz val="9"/>
      <color rgb="FF6B6B6B"/>
      <name val="Arial"/>
      <family val="0"/>
      <charset val="1"/>
    </font>
  </fonts>
  <fills count="5">
    <fill>
      <patternFill patternType="none"/>
    </fill>
    <fill>
      <patternFill patternType="gray125"/>
    </fill>
    <fill>
      <patternFill patternType="solid">
        <fgColor rgb="FF1F3B4D"/>
        <bgColor rgb="FF003366"/>
      </patternFill>
    </fill>
    <fill>
      <patternFill patternType="solid">
        <fgColor rgb="FFFFF6CC"/>
        <bgColor rgb="FFF2F5F7"/>
      </patternFill>
    </fill>
    <fill>
      <patternFill patternType="solid">
        <fgColor rgb="FFF2F5F7"/>
        <bgColor rgb="FFFFFFFF"/>
      </patternFill>
    </fill>
  </fills>
  <borders count="2">
    <border diagonalUp="false" diagonalDown="false">
      <left/>
      <right/>
      <top/>
      <bottom/>
      <diagonal/>
    </border>
    <border diagonalUp="false" diagonalDown="false">
      <left style="thin">
        <color rgb="FFC9D2D8"/>
      </left>
      <right style="thin">
        <color rgb="FFC9D2D8"/>
      </right>
      <top style="thin">
        <color rgb="FFC9D2D8"/>
      </top>
      <bottom style="thin">
        <color rgb="FFC9D2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left" vertical="center" textRotation="0" wrapText="true" indent="0" shrinkToFit="false"/>
      <protection locked="true" hidden="false"/>
    </xf>
    <xf numFmtId="165" fontId="10" fillId="3" borderId="1" xfId="0" applyFont="true" applyBorder="true" applyAlignment="true" applyProtection="false">
      <alignment horizontal="left" vertical="bottom" textRotation="0" wrapText="false" indent="0" shrinkToFit="false"/>
      <protection locked="true" hidden="false"/>
    </xf>
    <xf numFmtId="164" fontId="10" fillId="3" borderId="1" xfId="0" applyFont="true" applyBorder="true" applyAlignment="true" applyProtection="false">
      <alignment horizontal="left" vertical="bottom" textRotation="0" wrapText="false" indent="0" shrinkToFit="false"/>
      <protection locked="true" hidden="false"/>
    </xf>
    <xf numFmtId="164" fontId="10" fillId="3"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5" fontId="11" fillId="3" borderId="1" xfId="0" applyFont="true" applyBorder="true" applyAlignment="true" applyProtection="false">
      <alignment horizontal="left" vertical="bottom" textRotation="0" wrapText="false" indent="0" shrinkToFit="false"/>
      <protection locked="true" hidden="false"/>
    </xf>
    <xf numFmtId="164" fontId="11" fillId="3" borderId="1" xfId="0" applyFont="true" applyBorder="true" applyAlignment="true" applyProtection="false">
      <alignment horizontal="left" vertical="bottom" textRotation="0" wrapText="false" indent="0" shrinkToFit="false"/>
      <protection locked="true" hidden="false"/>
    </xf>
    <xf numFmtId="164" fontId="11" fillId="3" borderId="1" xfId="0" applyFont="true" applyBorder="true" applyAlignment="true" applyProtection="false">
      <alignment horizontal="center" vertical="bottom" textRotation="0" wrapText="false" indent="0" shrinkToFit="false"/>
      <protection locked="true" hidden="false"/>
    </xf>
    <xf numFmtId="165" fontId="10" fillId="3" borderId="1" xfId="0" applyFont="true" applyBorder="true" applyAlignment="true" applyProtection="false">
      <alignment horizontal="center" vertical="bottom" textRotation="0" wrapText="false" indent="0" shrinkToFit="false"/>
      <protection locked="true" hidden="false"/>
    </xf>
    <xf numFmtId="167" fontId="10" fillId="3" borderId="1" xfId="0" applyFont="true" applyBorder="true" applyAlignment="true" applyProtection="false">
      <alignment horizontal="center" vertical="bottom" textRotation="0" wrapText="false" indent="0" shrinkToFit="false"/>
      <protection locked="true" hidden="false"/>
    </xf>
    <xf numFmtId="167" fontId="6" fillId="0" borderId="1" xfId="0" applyFont="true" applyBorder="true" applyAlignment="true" applyProtection="false">
      <alignment horizontal="center" vertical="bottom" textRotation="0" wrapText="false" indent="0" shrinkToFit="false"/>
      <protection locked="true" hidden="false"/>
    </xf>
    <xf numFmtId="168"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5" fontId="11" fillId="3" borderId="1" xfId="0" applyFont="true" applyBorder="true" applyAlignment="true" applyProtection="false">
      <alignment horizontal="center" vertical="bottom" textRotation="0" wrapText="false" indent="0" shrinkToFit="false"/>
      <protection locked="true" hidden="false"/>
    </xf>
    <xf numFmtId="167" fontId="11" fillId="3" borderId="1" xfId="0" applyFont="true" applyBorder="true" applyAlignment="true" applyProtection="false">
      <alignment horizontal="center" vertical="bottom" textRotation="0" wrapText="false" indent="0" shrinkToFit="false"/>
      <protection locked="true" hidden="false"/>
    </xf>
    <xf numFmtId="165" fontId="12"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9" fontId="6" fillId="0" borderId="1" xfId="0" applyFont="true" applyBorder="true" applyAlignment="true" applyProtection="false">
      <alignment horizontal="center" vertical="bottom" textRotation="0" wrapText="false" indent="0" shrinkToFit="false"/>
      <protection locked="true" hidden="false"/>
    </xf>
    <xf numFmtId="164" fontId="6" fillId="4" borderId="1" xfId="0" applyFont="true" applyBorder="true" applyAlignment="true" applyProtection="false">
      <alignment horizontal="center" vertical="bottom" textRotation="0" wrapText="false" indent="0" shrinkToFit="false"/>
      <protection locked="true" hidden="false"/>
    </xf>
    <xf numFmtId="165" fontId="6" fillId="4" borderId="1" xfId="0" applyFont="true" applyBorder="true" applyAlignment="true" applyProtection="false">
      <alignment horizontal="center" vertical="bottom" textRotation="0" wrapText="false" indent="0" shrinkToFit="false"/>
      <protection locked="true" hidden="false"/>
    </xf>
    <xf numFmtId="169" fontId="6" fillId="4" borderId="1" xfId="0" applyFont="true" applyBorder="true" applyAlignment="true" applyProtection="false">
      <alignment horizontal="center" vertical="bottom" textRotation="0" wrapText="false" indent="0" shrinkToFit="false"/>
      <protection locked="true" hidden="false"/>
    </xf>
    <xf numFmtId="166" fontId="6" fillId="4" borderId="1"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5" fillId="4" borderId="1"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9A6B00"/>
      <rgbColor rgb="FF800080"/>
      <rgbColor rgb="FF008080"/>
      <rgbColor rgb="FFC0C0C0"/>
      <rgbColor rgb="FF808080"/>
      <rgbColor rgb="FF9999FF"/>
      <rgbColor rgb="FF9E4A3F"/>
      <rgbColor rgb="FFFFF6CC"/>
      <rgbColor rgb="FFF2F5F7"/>
      <rgbColor rgb="FF660066"/>
      <rgbColor rgb="FFFF8080"/>
      <rgbColor rgb="FF0066CC"/>
      <rgbColor rgb="FFC9D2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6B6B"/>
      <rgbColor rgb="FF969696"/>
      <rgbColor rgb="FF003366"/>
      <rgbColor rgb="FF339966"/>
      <rgbColor rgb="FF003300"/>
      <rgbColor rgb="FF1A1A1A"/>
      <rgbColor rgb="FF993300"/>
      <rgbColor rgb="FF993366"/>
      <rgbColor rgb="FF333399"/>
      <rgbColor rgb="FF1F3B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2"/>
  </cols>
  <sheetData>
    <row r="1" customFormat="false" ht="17.35" hidden="false" customHeight="false" outlineLevel="0" collapsed="false">
      <c r="A1" s="1" t="s">
        <v>0</v>
      </c>
    </row>
    <row r="4" customFormat="false" ht="7.5" hidden="false" customHeight="true" outlineLevel="0" collapsed="false">
      <c r="A4" s="2"/>
      <c r="B4" s="3"/>
    </row>
    <row r="5" customFormat="false" ht="30" hidden="false" customHeight="true" outlineLevel="0" collapsed="false">
      <c r="A5" s="2" t="s">
        <v>1</v>
      </c>
      <c r="B5" s="3" t="s">
        <v>2</v>
      </c>
    </row>
    <row r="6" customFormat="false" ht="30" hidden="false" customHeight="true" outlineLevel="0" collapsed="false">
      <c r="A6" s="2" t="s">
        <v>3</v>
      </c>
      <c r="B6" s="3" t="s">
        <v>4</v>
      </c>
    </row>
    <row r="7" customFormat="false" ht="30" hidden="false" customHeight="true" outlineLevel="0" collapsed="false">
      <c r="A7" s="2" t="s">
        <v>5</v>
      </c>
      <c r="B7" s="3" t="s">
        <v>6</v>
      </c>
    </row>
    <row r="8" customFormat="false" ht="30" hidden="false" customHeight="true" outlineLevel="0" collapsed="false">
      <c r="A8" s="2" t="s">
        <v>7</v>
      </c>
      <c r="B8" s="3" t="s">
        <v>8</v>
      </c>
    </row>
    <row r="9" customFormat="false" ht="30" hidden="false" customHeight="true" outlineLevel="0" collapsed="false">
      <c r="A9" s="2" t="s">
        <v>9</v>
      </c>
      <c r="B9" s="3" t="s">
        <v>10</v>
      </c>
    </row>
    <row r="10" customFormat="false" ht="7.5" hidden="false" customHeight="true" outlineLevel="0" collapsed="false">
      <c r="A10" s="2"/>
      <c r="B10" s="3"/>
    </row>
    <row r="11" customFormat="false" ht="30" hidden="false" customHeight="true" outlineLevel="0" collapsed="false">
      <c r="A11" s="2" t="s">
        <v>11</v>
      </c>
      <c r="B11" s="3" t="s">
        <v>12</v>
      </c>
    </row>
    <row r="12" customFormat="false" ht="30" hidden="false" customHeight="true" outlineLevel="0" collapsed="false">
      <c r="A12" s="2" t="s">
        <v>13</v>
      </c>
      <c r="B12" s="3" t="s">
        <v>14</v>
      </c>
    </row>
    <row r="13" customFormat="false" ht="7.5" hidden="false" customHeight="true" outlineLevel="0" collapsed="false">
      <c r="A13" s="2"/>
      <c r="B13" s="3"/>
    </row>
    <row r="14" customFormat="false" ht="30" hidden="false" customHeight="true" outlineLevel="0" collapsed="false">
      <c r="A14" s="2" t="s">
        <v>15</v>
      </c>
      <c r="B14" s="3"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32"/>
    <col collapsed="false" customWidth="true" hidden="false" outlineLevel="0" max="4" min="4" style="0" width="8"/>
    <col collapsed="false" customWidth="true" hidden="false" outlineLevel="0" max="5" min="5" style="0" width="13"/>
    <col collapsed="false" customWidth="true" hidden="false" outlineLevel="0" max="6" min="6" style="0" width="8"/>
    <col collapsed="false" customWidth="true" hidden="false" outlineLevel="0" max="7" min="7" style="0" width="13"/>
    <col collapsed="false" customWidth="true" hidden="false" outlineLevel="0" max="8" min="8" style="0" width="7"/>
    <col collapsed="false" customWidth="true" hidden="false" outlineLevel="0" max="9" min="9" style="0" width="40"/>
  </cols>
  <sheetData>
    <row r="1" customFormat="false" ht="17.35" hidden="false" customHeight="false" outlineLevel="0" collapsed="false">
      <c r="A1" s="1" t="s">
        <v>17</v>
      </c>
    </row>
    <row r="2" customFormat="false" ht="15" hidden="false" customHeight="false" outlineLevel="0" collapsed="false">
      <c r="A2" s="4" t="s">
        <v>18</v>
      </c>
    </row>
    <row r="3" customFormat="false" ht="15" hidden="false" customHeight="false" outlineLevel="0" collapsed="false">
      <c r="A3" s="5" t="s">
        <v>19</v>
      </c>
    </row>
    <row r="4" customFormat="false" ht="27.75" hidden="false" customHeight="true" outlineLevel="0" collapsed="false">
      <c r="A4" s="6" t="s">
        <v>20</v>
      </c>
      <c r="B4" s="6" t="s">
        <v>21</v>
      </c>
      <c r="C4" s="6" t="s">
        <v>22</v>
      </c>
      <c r="D4" s="6" t="s">
        <v>23</v>
      </c>
      <c r="E4" s="6" t="s">
        <v>24</v>
      </c>
      <c r="F4" s="6" t="s">
        <v>25</v>
      </c>
      <c r="G4" s="6" t="s">
        <v>26</v>
      </c>
      <c r="H4" s="6" t="s">
        <v>27</v>
      </c>
      <c r="I4" s="6" t="s">
        <v>28</v>
      </c>
    </row>
    <row r="5" customFormat="false" ht="15" hidden="false" customHeight="false" outlineLevel="0" collapsed="false">
      <c r="A5" s="7" t="s">
        <v>29</v>
      </c>
      <c r="B5" s="8" t="s">
        <v>30</v>
      </c>
      <c r="C5" s="8" t="s">
        <v>31</v>
      </c>
      <c r="D5" s="9" t="n">
        <v>1</v>
      </c>
      <c r="E5" s="9" t="n">
        <v>90</v>
      </c>
      <c r="F5" s="9" t="n">
        <v>5</v>
      </c>
      <c r="G5" s="10" t="n">
        <f aca="false">IF(AND(E5&lt;&gt;"",F5&lt;&gt;""),E5*F5,"")</f>
        <v>450</v>
      </c>
      <c r="H5" s="9" t="n">
        <v>2</v>
      </c>
      <c r="I5" s="8" t="s">
        <v>32</v>
      </c>
    </row>
    <row r="6" customFormat="false" ht="15" hidden="false" customHeight="false" outlineLevel="0" collapsed="false">
      <c r="A6" s="11"/>
      <c r="B6" s="12"/>
      <c r="C6" s="12"/>
      <c r="D6" s="13"/>
      <c r="E6" s="13"/>
      <c r="F6" s="13"/>
      <c r="G6" s="10" t="str">
        <f aca="false">IF(AND(E6&lt;&gt;"",F6&lt;&gt;""),E6*F6,"")</f>
        <v/>
      </c>
      <c r="H6" s="13"/>
      <c r="I6" s="12"/>
    </row>
    <row r="7" customFormat="false" ht="15" hidden="false" customHeight="false" outlineLevel="0" collapsed="false">
      <c r="A7" s="11"/>
      <c r="B7" s="12"/>
      <c r="C7" s="12"/>
      <c r="D7" s="13"/>
      <c r="E7" s="13"/>
      <c r="F7" s="13"/>
      <c r="G7" s="10" t="str">
        <f aca="false">IF(AND(E7&lt;&gt;"",F7&lt;&gt;""),E7*F7,"")</f>
        <v/>
      </c>
      <c r="H7" s="13"/>
      <c r="I7" s="12"/>
    </row>
    <row r="8" customFormat="false" ht="15" hidden="false" customHeight="false" outlineLevel="0" collapsed="false">
      <c r="A8" s="11"/>
      <c r="B8" s="12"/>
      <c r="C8" s="12"/>
      <c r="D8" s="13"/>
      <c r="E8" s="13"/>
      <c r="F8" s="13"/>
      <c r="G8" s="10" t="str">
        <f aca="false">IF(AND(E8&lt;&gt;"",F8&lt;&gt;""),E8*F8,"")</f>
        <v/>
      </c>
      <c r="H8" s="13"/>
      <c r="I8" s="12"/>
    </row>
    <row r="9" customFormat="false" ht="15" hidden="false" customHeight="false" outlineLevel="0" collapsed="false">
      <c r="A9" s="11"/>
      <c r="B9" s="12"/>
      <c r="C9" s="12"/>
      <c r="D9" s="13"/>
      <c r="E9" s="13"/>
      <c r="F9" s="13"/>
      <c r="G9" s="10" t="str">
        <f aca="false">IF(AND(E9&lt;&gt;"",F9&lt;&gt;""),E9*F9,"")</f>
        <v/>
      </c>
      <c r="H9" s="13"/>
      <c r="I9" s="12"/>
    </row>
    <row r="10" customFormat="false" ht="15" hidden="false" customHeight="false" outlineLevel="0" collapsed="false">
      <c r="A10" s="11"/>
      <c r="B10" s="12"/>
      <c r="C10" s="12"/>
      <c r="D10" s="13"/>
      <c r="E10" s="13"/>
      <c r="F10" s="13"/>
      <c r="G10" s="10" t="str">
        <f aca="false">IF(AND(E10&lt;&gt;"",F10&lt;&gt;""),E10*F10,"")</f>
        <v/>
      </c>
      <c r="H10" s="13"/>
      <c r="I10" s="12"/>
    </row>
    <row r="11" customFormat="false" ht="15" hidden="false" customHeight="false" outlineLevel="0" collapsed="false">
      <c r="A11" s="11"/>
      <c r="B11" s="12"/>
      <c r="C11" s="12"/>
      <c r="D11" s="13"/>
      <c r="E11" s="13"/>
      <c r="F11" s="13"/>
      <c r="G11" s="10" t="str">
        <f aca="false">IF(AND(E11&lt;&gt;"",F11&lt;&gt;""),E11*F11,"")</f>
        <v/>
      </c>
      <c r="H11" s="13"/>
      <c r="I11" s="12"/>
    </row>
    <row r="12" customFormat="false" ht="15" hidden="false" customHeight="false" outlineLevel="0" collapsed="false">
      <c r="A12" s="11"/>
      <c r="B12" s="12"/>
      <c r="C12" s="12"/>
      <c r="D12" s="13"/>
      <c r="E12" s="13"/>
      <c r="F12" s="13"/>
      <c r="G12" s="10" t="str">
        <f aca="false">IF(AND(E12&lt;&gt;"",F12&lt;&gt;""),E12*F12,"")</f>
        <v/>
      </c>
      <c r="H12" s="13"/>
      <c r="I12" s="12"/>
    </row>
    <row r="13" customFormat="false" ht="15" hidden="false" customHeight="false" outlineLevel="0" collapsed="false">
      <c r="A13" s="11"/>
      <c r="B13" s="12"/>
      <c r="C13" s="12"/>
      <c r="D13" s="13"/>
      <c r="E13" s="13"/>
      <c r="F13" s="13"/>
      <c r="G13" s="10" t="str">
        <f aca="false">IF(AND(E13&lt;&gt;"",F13&lt;&gt;""),E13*F13,"")</f>
        <v/>
      </c>
      <c r="H13" s="13"/>
      <c r="I13" s="12"/>
    </row>
    <row r="14" customFormat="false" ht="15" hidden="false" customHeight="false" outlineLevel="0" collapsed="false">
      <c r="A14" s="11"/>
      <c r="B14" s="12"/>
      <c r="C14" s="12"/>
      <c r="D14" s="13"/>
      <c r="E14" s="13"/>
      <c r="F14" s="13"/>
      <c r="G14" s="10" t="str">
        <f aca="false">IF(AND(E14&lt;&gt;"",F14&lt;&gt;""),E14*F14,"")</f>
        <v/>
      </c>
      <c r="H14" s="13"/>
      <c r="I14" s="12"/>
    </row>
    <row r="15" customFormat="false" ht="15" hidden="false" customHeight="false" outlineLevel="0" collapsed="false">
      <c r="A15" s="11"/>
      <c r="B15" s="12"/>
      <c r="C15" s="12"/>
      <c r="D15" s="13"/>
      <c r="E15" s="13"/>
      <c r="F15" s="13"/>
      <c r="G15" s="10" t="str">
        <f aca="false">IF(AND(E15&lt;&gt;"",F15&lt;&gt;""),E15*F15,"")</f>
        <v/>
      </c>
      <c r="H15" s="13"/>
      <c r="I15" s="12"/>
    </row>
    <row r="16" customFormat="false" ht="15" hidden="false" customHeight="false" outlineLevel="0" collapsed="false">
      <c r="A16" s="11"/>
      <c r="B16" s="12"/>
      <c r="C16" s="12"/>
      <c r="D16" s="13"/>
      <c r="E16" s="13"/>
      <c r="F16" s="13"/>
      <c r="G16" s="10" t="str">
        <f aca="false">IF(AND(E16&lt;&gt;"",F16&lt;&gt;""),E16*F16,"")</f>
        <v/>
      </c>
      <c r="H16" s="13"/>
      <c r="I16" s="12"/>
    </row>
    <row r="17" customFormat="false" ht="15" hidden="false" customHeight="false" outlineLevel="0" collapsed="false">
      <c r="A17" s="11"/>
      <c r="B17" s="12"/>
      <c r="C17" s="12"/>
      <c r="D17" s="13"/>
      <c r="E17" s="13"/>
      <c r="F17" s="13"/>
      <c r="G17" s="10" t="str">
        <f aca="false">IF(AND(E17&lt;&gt;"",F17&lt;&gt;""),E17*F17,"")</f>
        <v/>
      </c>
      <c r="H17" s="13"/>
      <c r="I17" s="12"/>
    </row>
    <row r="18" customFormat="false" ht="15" hidden="false" customHeight="false" outlineLevel="0" collapsed="false">
      <c r="A18" s="11"/>
      <c r="B18" s="12"/>
      <c r="C18" s="12"/>
      <c r="D18" s="13"/>
      <c r="E18" s="13"/>
      <c r="F18" s="13"/>
      <c r="G18" s="10" t="str">
        <f aca="false">IF(AND(E18&lt;&gt;"",F18&lt;&gt;""),E18*F18,"")</f>
        <v/>
      </c>
      <c r="H18" s="13"/>
      <c r="I18" s="12"/>
    </row>
    <row r="19" customFormat="false" ht="15" hidden="false" customHeight="false" outlineLevel="0" collapsed="false">
      <c r="A19" s="11"/>
      <c r="B19" s="12"/>
      <c r="C19" s="12"/>
      <c r="D19" s="13"/>
      <c r="E19" s="13"/>
      <c r="F19" s="13"/>
      <c r="G19" s="10" t="str">
        <f aca="false">IF(AND(E19&lt;&gt;"",F19&lt;&gt;""),E19*F19,"")</f>
        <v/>
      </c>
      <c r="H19" s="13"/>
      <c r="I19" s="12"/>
    </row>
    <row r="20" customFormat="false" ht="15" hidden="false" customHeight="false" outlineLevel="0" collapsed="false">
      <c r="A20" s="11"/>
      <c r="B20" s="12"/>
      <c r="C20" s="12"/>
      <c r="D20" s="13"/>
      <c r="E20" s="13"/>
      <c r="F20" s="13"/>
      <c r="G20" s="10" t="str">
        <f aca="false">IF(AND(E20&lt;&gt;"",F20&lt;&gt;""),E20*F20,"")</f>
        <v/>
      </c>
      <c r="H20" s="13"/>
      <c r="I20" s="12"/>
    </row>
    <row r="21" customFormat="false" ht="15" hidden="false" customHeight="false" outlineLevel="0" collapsed="false">
      <c r="A21" s="11"/>
      <c r="B21" s="12"/>
      <c r="C21" s="12"/>
      <c r="D21" s="13"/>
      <c r="E21" s="13"/>
      <c r="F21" s="13"/>
      <c r="G21" s="10" t="str">
        <f aca="false">IF(AND(E21&lt;&gt;"",F21&lt;&gt;""),E21*F21,"")</f>
        <v/>
      </c>
      <c r="H21" s="13"/>
      <c r="I21" s="12"/>
    </row>
    <row r="22" customFormat="false" ht="15" hidden="false" customHeight="false" outlineLevel="0" collapsed="false">
      <c r="A22" s="11"/>
      <c r="B22" s="12"/>
      <c r="C22" s="12"/>
      <c r="D22" s="13"/>
      <c r="E22" s="13"/>
      <c r="F22" s="13"/>
      <c r="G22" s="10" t="str">
        <f aca="false">IF(AND(E22&lt;&gt;"",F22&lt;&gt;""),E22*F22,"")</f>
        <v/>
      </c>
      <c r="H22" s="13"/>
      <c r="I22" s="12"/>
    </row>
    <row r="23" customFormat="false" ht="15" hidden="false" customHeight="false" outlineLevel="0" collapsed="false">
      <c r="A23" s="11"/>
      <c r="B23" s="12"/>
      <c r="C23" s="12"/>
      <c r="D23" s="13"/>
      <c r="E23" s="13"/>
      <c r="F23" s="13"/>
      <c r="G23" s="10" t="str">
        <f aca="false">IF(AND(E23&lt;&gt;"",F23&lt;&gt;""),E23*F23,"")</f>
        <v/>
      </c>
      <c r="H23" s="13"/>
      <c r="I23" s="12"/>
    </row>
    <row r="24" customFormat="false" ht="15" hidden="false" customHeight="false" outlineLevel="0" collapsed="false">
      <c r="A24" s="11"/>
      <c r="B24" s="12"/>
      <c r="C24" s="12"/>
      <c r="D24" s="13"/>
      <c r="E24" s="13"/>
      <c r="F24" s="13"/>
      <c r="G24" s="10" t="str">
        <f aca="false">IF(AND(E24&lt;&gt;"",F24&lt;&gt;""),E24*F24,"")</f>
        <v/>
      </c>
      <c r="H24" s="13"/>
      <c r="I24" s="12"/>
    </row>
    <row r="25" customFormat="false" ht="15" hidden="false" customHeight="false" outlineLevel="0" collapsed="false">
      <c r="A25" s="11"/>
      <c r="B25" s="12"/>
      <c r="C25" s="12"/>
      <c r="D25" s="13"/>
      <c r="E25" s="13"/>
      <c r="F25" s="13"/>
      <c r="G25" s="10" t="str">
        <f aca="false">IF(AND(E25&lt;&gt;"",F25&lt;&gt;""),E25*F25,"")</f>
        <v/>
      </c>
      <c r="H25" s="13"/>
      <c r="I25" s="12"/>
    </row>
    <row r="26" customFormat="false" ht="15" hidden="false" customHeight="false" outlineLevel="0" collapsed="false">
      <c r="A26" s="11"/>
      <c r="B26" s="12"/>
      <c r="C26" s="12"/>
      <c r="D26" s="13"/>
      <c r="E26" s="13"/>
      <c r="F26" s="13"/>
      <c r="G26" s="10" t="str">
        <f aca="false">IF(AND(E26&lt;&gt;"",F26&lt;&gt;""),E26*F26,"")</f>
        <v/>
      </c>
      <c r="H26" s="13"/>
      <c r="I26" s="12"/>
    </row>
    <row r="27" customFormat="false" ht="15" hidden="false" customHeight="false" outlineLevel="0" collapsed="false">
      <c r="A27" s="11"/>
      <c r="B27" s="12"/>
      <c r="C27" s="12"/>
      <c r="D27" s="13"/>
      <c r="E27" s="13"/>
      <c r="F27" s="13"/>
      <c r="G27" s="10" t="str">
        <f aca="false">IF(AND(E27&lt;&gt;"",F27&lt;&gt;""),E27*F27,"")</f>
        <v/>
      </c>
      <c r="H27" s="13"/>
      <c r="I27" s="12"/>
    </row>
    <row r="28" customFormat="false" ht="15" hidden="false" customHeight="false" outlineLevel="0" collapsed="false">
      <c r="A28" s="11"/>
      <c r="B28" s="12"/>
      <c r="C28" s="12"/>
      <c r="D28" s="13"/>
      <c r="E28" s="13"/>
      <c r="F28" s="13"/>
      <c r="G28" s="10" t="str">
        <f aca="false">IF(AND(E28&lt;&gt;"",F28&lt;&gt;""),E28*F28,"")</f>
        <v/>
      </c>
      <c r="H28" s="13"/>
      <c r="I28" s="12"/>
    </row>
    <row r="29" customFormat="false" ht="15" hidden="false" customHeight="false" outlineLevel="0" collapsed="false">
      <c r="A29" s="11"/>
      <c r="B29" s="12"/>
      <c r="C29" s="12"/>
      <c r="D29" s="13"/>
      <c r="E29" s="13"/>
      <c r="F29" s="13"/>
      <c r="G29" s="10" t="str">
        <f aca="false">IF(AND(E29&lt;&gt;"",F29&lt;&gt;""),E29*F29,"")</f>
        <v/>
      </c>
      <c r="H29" s="13"/>
      <c r="I29" s="12"/>
    </row>
    <row r="30" customFormat="false" ht="15" hidden="false" customHeight="false" outlineLevel="0" collapsed="false">
      <c r="A30" s="11"/>
      <c r="B30" s="12"/>
      <c r="C30" s="12"/>
      <c r="D30" s="13"/>
      <c r="E30" s="13"/>
      <c r="F30" s="13"/>
      <c r="G30" s="10" t="str">
        <f aca="false">IF(AND(E30&lt;&gt;"",F30&lt;&gt;""),E30*F30,"")</f>
        <v/>
      </c>
      <c r="H30" s="13"/>
      <c r="I30" s="12"/>
    </row>
    <row r="31" customFormat="false" ht="15" hidden="false" customHeight="false" outlineLevel="0" collapsed="false">
      <c r="A31" s="11"/>
      <c r="B31" s="12"/>
      <c r="C31" s="12"/>
      <c r="D31" s="13"/>
      <c r="E31" s="13"/>
      <c r="F31" s="13"/>
      <c r="G31" s="10" t="str">
        <f aca="false">IF(AND(E31&lt;&gt;"",F31&lt;&gt;""),E31*F31,"")</f>
        <v/>
      </c>
      <c r="H31" s="13"/>
      <c r="I31" s="12"/>
    </row>
    <row r="32" customFormat="false" ht="15" hidden="false" customHeight="false" outlineLevel="0" collapsed="false">
      <c r="A32" s="11"/>
      <c r="B32" s="12"/>
      <c r="C32" s="12"/>
      <c r="D32" s="13"/>
      <c r="E32" s="13"/>
      <c r="F32" s="13"/>
      <c r="G32" s="10" t="str">
        <f aca="false">IF(AND(E32&lt;&gt;"",F32&lt;&gt;""),E32*F32,"")</f>
        <v/>
      </c>
      <c r="H32" s="13"/>
      <c r="I32" s="12"/>
    </row>
    <row r="33" customFormat="false" ht="15" hidden="false" customHeight="false" outlineLevel="0" collapsed="false">
      <c r="A33" s="11"/>
      <c r="B33" s="12"/>
      <c r="C33" s="12"/>
      <c r="D33" s="13"/>
      <c r="E33" s="13"/>
      <c r="F33" s="13"/>
      <c r="G33" s="10" t="str">
        <f aca="false">IF(AND(E33&lt;&gt;"",F33&lt;&gt;""),E33*F33,"")</f>
        <v/>
      </c>
      <c r="H33" s="13"/>
      <c r="I33" s="12"/>
    </row>
    <row r="34" customFormat="false" ht="15" hidden="false" customHeight="false" outlineLevel="0" collapsed="false">
      <c r="A34" s="11"/>
      <c r="B34" s="12"/>
      <c r="C34" s="12"/>
      <c r="D34" s="13"/>
      <c r="E34" s="13"/>
      <c r="F34" s="13"/>
      <c r="G34" s="10" t="str">
        <f aca="false">IF(AND(E34&lt;&gt;"",F34&lt;&gt;""),E34*F34,"")</f>
        <v/>
      </c>
      <c r="H34" s="13"/>
      <c r="I34" s="12"/>
    </row>
    <row r="35" customFormat="false" ht="15" hidden="false" customHeight="false" outlineLevel="0" collapsed="false">
      <c r="A35" s="11"/>
      <c r="B35" s="12"/>
      <c r="C35" s="12"/>
      <c r="D35" s="13"/>
      <c r="E35" s="13"/>
      <c r="F35" s="13"/>
      <c r="G35" s="10" t="str">
        <f aca="false">IF(AND(E35&lt;&gt;"",F35&lt;&gt;""),E35*F35,"")</f>
        <v/>
      </c>
      <c r="H35" s="13"/>
      <c r="I35" s="12"/>
    </row>
    <row r="36" customFormat="false" ht="15" hidden="false" customHeight="false" outlineLevel="0" collapsed="false">
      <c r="A36" s="11"/>
      <c r="B36" s="12"/>
      <c r="C36" s="12"/>
      <c r="D36" s="13"/>
      <c r="E36" s="13"/>
      <c r="F36" s="13"/>
      <c r="G36" s="10" t="str">
        <f aca="false">IF(AND(E36&lt;&gt;"",F36&lt;&gt;""),E36*F36,"")</f>
        <v/>
      </c>
      <c r="H36" s="13"/>
      <c r="I36" s="12"/>
    </row>
    <row r="37" customFormat="false" ht="15" hidden="false" customHeight="false" outlineLevel="0" collapsed="false">
      <c r="A37" s="11"/>
      <c r="B37" s="12"/>
      <c r="C37" s="12"/>
      <c r="D37" s="13"/>
      <c r="E37" s="13"/>
      <c r="F37" s="13"/>
      <c r="G37" s="10" t="str">
        <f aca="false">IF(AND(E37&lt;&gt;"",F37&lt;&gt;""),E37*F37,"")</f>
        <v/>
      </c>
      <c r="H37" s="13"/>
      <c r="I37" s="12"/>
    </row>
    <row r="38" customFormat="false" ht="15" hidden="false" customHeight="false" outlineLevel="0" collapsed="false">
      <c r="A38" s="11"/>
      <c r="B38" s="12"/>
      <c r="C38" s="12"/>
      <c r="D38" s="13"/>
      <c r="E38" s="13"/>
      <c r="F38" s="13"/>
      <c r="G38" s="10" t="str">
        <f aca="false">IF(AND(E38&lt;&gt;"",F38&lt;&gt;""),E38*F38,"")</f>
        <v/>
      </c>
      <c r="H38" s="13"/>
      <c r="I38" s="12"/>
    </row>
    <row r="39" customFormat="false" ht="15" hidden="false" customHeight="false" outlineLevel="0" collapsed="false">
      <c r="A39" s="11"/>
      <c r="B39" s="12"/>
      <c r="C39" s="12"/>
      <c r="D39" s="13"/>
      <c r="E39" s="13"/>
      <c r="F39" s="13"/>
      <c r="G39" s="10" t="str">
        <f aca="false">IF(AND(E39&lt;&gt;"",F39&lt;&gt;""),E39*F39,"")</f>
        <v/>
      </c>
      <c r="H39" s="13"/>
      <c r="I39" s="12"/>
    </row>
    <row r="40" customFormat="false" ht="15" hidden="false" customHeight="false" outlineLevel="0" collapsed="false">
      <c r="A40" s="11"/>
      <c r="B40" s="12"/>
      <c r="C40" s="12"/>
      <c r="D40" s="13"/>
      <c r="E40" s="13"/>
      <c r="F40" s="13"/>
      <c r="G40" s="10" t="str">
        <f aca="false">IF(AND(E40&lt;&gt;"",F40&lt;&gt;""),E40*F40,"")</f>
        <v/>
      </c>
      <c r="H40" s="13"/>
      <c r="I40" s="12"/>
    </row>
    <row r="41" customFormat="false" ht="15" hidden="false" customHeight="false" outlineLevel="0" collapsed="false">
      <c r="A41" s="11"/>
      <c r="B41" s="12"/>
      <c r="C41" s="12"/>
      <c r="D41" s="13"/>
      <c r="E41" s="13"/>
      <c r="F41" s="13"/>
      <c r="G41" s="10" t="str">
        <f aca="false">IF(AND(E41&lt;&gt;"",F41&lt;&gt;""),E41*F41,"")</f>
        <v/>
      </c>
      <c r="H41" s="13"/>
      <c r="I41" s="12"/>
    </row>
    <row r="42" customFormat="false" ht="15" hidden="false" customHeight="false" outlineLevel="0" collapsed="false">
      <c r="A42" s="11"/>
      <c r="B42" s="12"/>
      <c r="C42" s="12"/>
      <c r="D42" s="13"/>
      <c r="E42" s="13"/>
      <c r="F42" s="13"/>
      <c r="G42" s="10" t="str">
        <f aca="false">IF(AND(E42&lt;&gt;"",F42&lt;&gt;""),E42*F42,"")</f>
        <v/>
      </c>
      <c r="H42" s="13"/>
      <c r="I42" s="12"/>
    </row>
    <row r="43" customFormat="false" ht="15" hidden="false" customHeight="false" outlineLevel="0" collapsed="false">
      <c r="A43" s="11"/>
      <c r="B43" s="12"/>
      <c r="C43" s="12"/>
      <c r="D43" s="13"/>
      <c r="E43" s="13"/>
      <c r="F43" s="13"/>
      <c r="G43" s="10" t="str">
        <f aca="false">IF(AND(E43&lt;&gt;"",F43&lt;&gt;""),E43*F43,"")</f>
        <v/>
      </c>
      <c r="H43" s="13"/>
      <c r="I43" s="12"/>
    </row>
    <row r="44" customFormat="false" ht="15" hidden="false" customHeight="false" outlineLevel="0" collapsed="false">
      <c r="A44" s="11"/>
      <c r="B44" s="12"/>
      <c r="C44" s="12"/>
      <c r="D44" s="13"/>
      <c r="E44" s="13"/>
      <c r="F44" s="13"/>
      <c r="G44" s="10" t="str">
        <f aca="false">IF(AND(E44&lt;&gt;"",F44&lt;&gt;""),E44*F44,"")</f>
        <v/>
      </c>
      <c r="H44" s="13"/>
      <c r="I44" s="12"/>
    </row>
    <row r="45" customFormat="false" ht="15" hidden="false" customHeight="false" outlineLevel="0" collapsed="false">
      <c r="A45" s="11"/>
      <c r="B45" s="12"/>
      <c r="C45" s="12"/>
      <c r="D45" s="13"/>
      <c r="E45" s="13"/>
      <c r="F45" s="13"/>
      <c r="G45" s="10" t="str">
        <f aca="false">IF(AND(E45&lt;&gt;"",F45&lt;&gt;""),E45*F45,"")</f>
        <v/>
      </c>
      <c r="H45" s="13"/>
      <c r="I45" s="12"/>
    </row>
    <row r="46" customFormat="false" ht="15" hidden="false" customHeight="false" outlineLevel="0" collapsed="false">
      <c r="A46" s="11"/>
      <c r="B46" s="12"/>
      <c r="C46" s="12"/>
      <c r="D46" s="13"/>
      <c r="E46" s="13"/>
      <c r="F46" s="13"/>
      <c r="G46" s="10" t="str">
        <f aca="false">IF(AND(E46&lt;&gt;"",F46&lt;&gt;""),E46*F46,"")</f>
        <v/>
      </c>
      <c r="H46" s="13"/>
      <c r="I46" s="12"/>
    </row>
    <row r="47" customFormat="false" ht="15" hidden="false" customHeight="false" outlineLevel="0" collapsed="false">
      <c r="A47" s="11"/>
      <c r="B47" s="12"/>
      <c r="C47" s="12"/>
      <c r="D47" s="13"/>
      <c r="E47" s="13"/>
      <c r="F47" s="13"/>
      <c r="G47" s="10" t="str">
        <f aca="false">IF(AND(E47&lt;&gt;"",F47&lt;&gt;""),E47*F47,"")</f>
        <v/>
      </c>
      <c r="H47" s="13"/>
      <c r="I47" s="12"/>
    </row>
    <row r="48" customFormat="false" ht="15" hidden="false" customHeight="false" outlineLevel="0" collapsed="false">
      <c r="A48" s="11"/>
      <c r="B48" s="12"/>
      <c r="C48" s="12"/>
      <c r="D48" s="13"/>
      <c r="E48" s="13"/>
      <c r="F48" s="13"/>
      <c r="G48" s="10" t="str">
        <f aca="false">IF(AND(E48&lt;&gt;"",F48&lt;&gt;""),E48*F48,"")</f>
        <v/>
      </c>
      <c r="H48" s="13"/>
      <c r="I48" s="12"/>
    </row>
    <row r="49" customFormat="false" ht="15" hidden="false" customHeight="false" outlineLevel="0" collapsed="false">
      <c r="A49" s="11"/>
      <c r="B49" s="12"/>
      <c r="C49" s="12"/>
      <c r="D49" s="13"/>
      <c r="E49" s="13"/>
      <c r="F49" s="13"/>
      <c r="G49" s="10" t="str">
        <f aca="false">IF(AND(E49&lt;&gt;"",F49&lt;&gt;""),E49*F49,"")</f>
        <v/>
      </c>
      <c r="H49" s="13"/>
      <c r="I49" s="12"/>
    </row>
    <row r="50" customFormat="false" ht="15" hidden="false" customHeight="false" outlineLevel="0" collapsed="false">
      <c r="A50" s="11"/>
      <c r="B50" s="12"/>
      <c r="C50" s="12"/>
      <c r="D50" s="13"/>
      <c r="E50" s="13"/>
      <c r="F50" s="13"/>
      <c r="G50" s="10" t="str">
        <f aca="false">IF(AND(E50&lt;&gt;"",F50&lt;&gt;""),E50*F50,"")</f>
        <v/>
      </c>
      <c r="H50" s="13"/>
      <c r="I50" s="12"/>
    </row>
    <row r="51" customFormat="false" ht="15" hidden="false" customHeight="false" outlineLevel="0" collapsed="false">
      <c r="A51" s="11"/>
      <c r="B51" s="12"/>
      <c r="C51" s="12"/>
      <c r="D51" s="13"/>
      <c r="E51" s="13"/>
      <c r="F51" s="13"/>
      <c r="G51" s="10" t="str">
        <f aca="false">IF(AND(E51&lt;&gt;"",F51&lt;&gt;""),E51*F51,"")</f>
        <v/>
      </c>
      <c r="H51" s="13"/>
      <c r="I51" s="12"/>
    </row>
    <row r="52" customFormat="false" ht="15" hidden="false" customHeight="false" outlineLevel="0" collapsed="false">
      <c r="A52" s="11"/>
      <c r="B52" s="12"/>
      <c r="C52" s="12"/>
      <c r="D52" s="13"/>
      <c r="E52" s="13"/>
      <c r="F52" s="13"/>
      <c r="G52" s="10" t="str">
        <f aca="false">IF(AND(E52&lt;&gt;"",F52&lt;&gt;""),E52*F52,"")</f>
        <v/>
      </c>
      <c r="H52" s="13"/>
      <c r="I52" s="12"/>
    </row>
    <row r="53" customFormat="false" ht="15" hidden="false" customHeight="false" outlineLevel="0" collapsed="false">
      <c r="A53" s="11"/>
      <c r="B53" s="12"/>
      <c r="C53" s="12"/>
      <c r="D53" s="13"/>
      <c r="E53" s="13"/>
      <c r="F53" s="13"/>
      <c r="G53" s="10" t="str">
        <f aca="false">IF(AND(E53&lt;&gt;"",F53&lt;&gt;""),E53*F53,"")</f>
        <v/>
      </c>
      <c r="H53" s="13"/>
      <c r="I53" s="12"/>
    </row>
    <row r="54" customFormat="false" ht="15" hidden="false" customHeight="false" outlineLevel="0" collapsed="false">
      <c r="A54" s="11"/>
      <c r="B54" s="12"/>
      <c r="C54" s="12"/>
      <c r="D54" s="13"/>
      <c r="E54" s="13"/>
      <c r="F54" s="13"/>
      <c r="G54" s="10" t="str">
        <f aca="false">IF(AND(E54&lt;&gt;"",F54&lt;&gt;""),E54*F54,"")</f>
        <v/>
      </c>
      <c r="H54" s="13"/>
      <c r="I54" s="12"/>
    </row>
    <row r="55" customFormat="false" ht="15" hidden="false" customHeight="false" outlineLevel="0" collapsed="false">
      <c r="A55" s="11"/>
      <c r="B55" s="12"/>
      <c r="C55" s="12"/>
      <c r="D55" s="13"/>
      <c r="E55" s="13"/>
      <c r="F55" s="13"/>
      <c r="G55" s="10" t="str">
        <f aca="false">IF(AND(E55&lt;&gt;"",F55&lt;&gt;""),E55*F55,"")</f>
        <v/>
      </c>
      <c r="H55" s="13"/>
      <c r="I55" s="12"/>
    </row>
    <row r="56" customFormat="false" ht="15" hidden="false" customHeight="false" outlineLevel="0" collapsed="false">
      <c r="A56" s="11"/>
      <c r="B56" s="12"/>
      <c r="C56" s="12"/>
      <c r="D56" s="13"/>
      <c r="E56" s="13"/>
      <c r="F56" s="13"/>
      <c r="G56" s="10" t="str">
        <f aca="false">IF(AND(E56&lt;&gt;"",F56&lt;&gt;""),E56*F56,"")</f>
        <v/>
      </c>
      <c r="H56" s="13"/>
      <c r="I56" s="12"/>
    </row>
    <row r="57" customFormat="false" ht="15" hidden="false" customHeight="false" outlineLevel="0" collapsed="false">
      <c r="A57" s="11"/>
      <c r="B57" s="12"/>
      <c r="C57" s="12"/>
      <c r="D57" s="13"/>
      <c r="E57" s="13"/>
      <c r="F57" s="13"/>
      <c r="G57" s="10" t="str">
        <f aca="false">IF(AND(E57&lt;&gt;"",F57&lt;&gt;""),E57*F57,"")</f>
        <v/>
      </c>
      <c r="H57" s="13"/>
      <c r="I57" s="12"/>
    </row>
    <row r="58" customFormat="false" ht="15" hidden="false" customHeight="false" outlineLevel="0" collapsed="false">
      <c r="A58" s="11"/>
      <c r="B58" s="12"/>
      <c r="C58" s="12"/>
      <c r="D58" s="13"/>
      <c r="E58" s="13"/>
      <c r="F58" s="13"/>
      <c r="G58" s="10" t="str">
        <f aca="false">IF(AND(E58&lt;&gt;"",F58&lt;&gt;""),E58*F58,"")</f>
        <v/>
      </c>
      <c r="H58" s="13"/>
      <c r="I58" s="12"/>
    </row>
    <row r="59" customFormat="false" ht="15" hidden="false" customHeight="false" outlineLevel="0" collapsed="false">
      <c r="A59" s="11"/>
      <c r="B59" s="12"/>
      <c r="C59" s="12"/>
      <c r="D59" s="13"/>
      <c r="E59" s="13"/>
      <c r="F59" s="13"/>
      <c r="G59" s="10" t="str">
        <f aca="false">IF(AND(E59&lt;&gt;"",F59&lt;&gt;""),E59*F59,"")</f>
        <v/>
      </c>
      <c r="H59" s="13"/>
      <c r="I59" s="12"/>
    </row>
    <row r="60" customFormat="false" ht="15" hidden="false" customHeight="false" outlineLevel="0" collapsed="false">
      <c r="A60" s="11"/>
      <c r="B60" s="12"/>
      <c r="C60" s="12"/>
      <c r="D60" s="13"/>
      <c r="E60" s="13"/>
      <c r="F60" s="13"/>
      <c r="G60" s="10" t="str">
        <f aca="false">IF(AND(E60&lt;&gt;"",F60&lt;&gt;""),E60*F60,"")</f>
        <v/>
      </c>
      <c r="H60" s="13"/>
      <c r="I60" s="12"/>
    </row>
    <row r="61" customFormat="false" ht="15" hidden="false" customHeight="false" outlineLevel="0" collapsed="false">
      <c r="A61" s="11"/>
      <c r="B61" s="12"/>
      <c r="C61" s="12"/>
      <c r="D61" s="13"/>
      <c r="E61" s="13"/>
      <c r="F61" s="13"/>
      <c r="G61" s="10" t="str">
        <f aca="false">IF(AND(E61&lt;&gt;"",F61&lt;&gt;""),E61*F61,"")</f>
        <v/>
      </c>
      <c r="H61" s="13"/>
      <c r="I61" s="12"/>
    </row>
    <row r="62" customFormat="false" ht="15" hidden="false" customHeight="false" outlineLevel="0" collapsed="false">
      <c r="A62" s="11"/>
      <c r="B62" s="12"/>
      <c r="C62" s="12"/>
      <c r="D62" s="13"/>
      <c r="E62" s="13"/>
      <c r="F62" s="13"/>
      <c r="G62" s="10" t="str">
        <f aca="false">IF(AND(E62&lt;&gt;"",F62&lt;&gt;""),E62*F62,"")</f>
        <v/>
      </c>
      <c r="H62" s="13"/>
      <c r="I62" s="12"/>
    </row>
    <row r="63" customFormat="false" ht="15" hidden="false" customHeight="false" outlineLevel="0" collapsed="false">
      <c r="A63" s="11"/>
      <c r="B63" s="12"/>
      <c r="C63" s="12"/>
      <c r="D63" s="13"/>
      <c r="E63" s="13"/>
      <c r="F63" s="13"/>
      <c r="G63" s="10" t="str">
        <f aca="false">IF(AND(E63&lt;&gt;"",F63&lt;&gt;""),E63*F63,"")</f>
        <v/>
      </c>
      <c r="H63" s="13"/>
      <c r="I63" s="12"/>
    </row>
    <row r="64" customFormat="false" ht="15" hidden="false" customHeight="false" outlineLevel="0" collapsed="false">
      <c r="A64" s="11"/>
      <c r="B64" s="12"/>
      <c r="C64" s="12"/>
      <c r="D64" s="13"/>
      <c r="E64" s="13"/>
      <c r="F64" s="13"/>
      <c r="G64" s="10" t="str">
        <f aca="false">IF(AND(E64&lt;&gt;"",F64&lt;&gt;""),E64*F64,"")</f>
        <v/>
      </c>
      <c r="H64" s="13"/>
      <c r="I64" s="12"/>
    </row>
    <row r="65" customFormat="false" ht="15" hidden="false" customHeight="false" outlineLevel="0" collapsed="false">
      <c r="A65" s="11"/>
      <c r="B65" s="12"/>
      <c r="C65" s="12"/>
      <c r="D65" s="13"/>
      <c r="E65" s="13"/>
      <c r="F65" s="13"/>
      <c r="G65" s="10" t="str">
        <f aca="false">IF(AND(E65&lt;&gt;"",F65&lt;&gt;""),E65*F65,"")</f>
        <v/>
      </c>
      <c r="H65" s="13"/>
      <c r="I65" s="12"/>
    </row>
    <row r="66" customFormat="false" ht="15" hidden="false" customHeight="false" outlineLevel="0" collapsed="false">
      <c r="A66" s="11"/>
      <c r="B66" s="12"/>
      <c r="C66" s="12"/>
      <c r="D66" s="13"/>
      <c r="E66" s="13"/>
      <c r="F66" s="13"/>
      <c r="G66" s="10" t="str">
        <f aca="false">IF(AND(E66&lt;&gt;"",F66&lt;&gt;""),E66*F66,"")</f>
        <v/>
      </c>
      <c r="H66" s="13"/>
      <c r="I66" s="12"/>
    </row>
    <row r="67" customFormat="false" ht="15" hidden="false" customHeight="false" outlineLevel="0" collapsed="false">
      <c r="A67" s="11"/>
      <c r="B67" s="12"/>
      <c r="C67" s="12"/>
      <c r="D67" s="13"/>
      <c r="E67" s="13"/>
      <c r="F67" s="13"/>
      <c r="G67" s="10" t="str">
        <f aca="false">IF(AND(E67&lt;&gt;"",F67&lt;&gt;""),E67*F67,"")</f>
        <v/>
      </c>
      <c r="H67" s="13"/>
      <c r="I67" s="12"/>
    </row>
    <row r="68" customFormat="false" ht="15" hidden="false" customHeight="false" outlineLevel="0" collapsed="false">
      <c r="A68" s="11"/>
      <c r="B68" s="12"/>
      <c r="C68" s="12"/>
      <c r="D68" s="13"/>
      <c r="E68" s="13"/>
      <c r="F68" s="13"/>
      <c r="G68" s="10" t="str">
        <f aca="false">IF(AND(E68&lt;&gt;"",F68&lt;&gt;""),E68*F68,"")</f>
        <v/>
      </c>
      <c r="H68" s="13"/>
      <c r="I68" s="12"/>
    </row>
    <row r="69" customFormat="false" ht="15" hidden="false" customHeight="false" outlineLevel="0" collapsed="false">
      <c r="A69" s="11"/>
      <c r="B69" s="12"/>
      <c r="C69" s="12"/>
      <c r="D69" s="13"/>
      <c r="E69" s="13"/>
      <c r="F69" s="13"/>
      <c r="G69" s="10" t="str">
        <f aca="false">IF(AND(E69&lt;&gt;"",F69&lt;&gt;""),E69*F69,"")</f>
        <v/>
      </c>
      <c r="H69" s="13"/>
      <c r="I69" s="12"/>
    </row>
    <row r="70" customFormat="false" ht="15" hidden="false" customHeight="false" outlineLevel="0" collapsed="false">
      <c r="A70" s="11"/>
      <c r="B70" s="12"/>
      <c r="C70" s="12"/>
      <c r="D70" s="13"/>
      <c r="E70" s="13"/>
      <c r="F70" s="13"/>
      <c r="G70" s="10" t="str">
        <f aca="false">IF(AND(E70&lt;&gt;"",F70&lt;&gt;""),E70*F70,"")</f>
        <v/>
      </c>
      <c r="H70" s="13"/>
      <c r="I70" s="12"/>
    </row>
    <row r="71" customFormat="false" ht="15" hidden="false" customHeight="false" outlineLevel="0" collapsed="false">
      <c r="A71" s="11"/>
      <c r="B71" s="12"/>
      <c r="C71" s="12"/>
      <c r="D71" s="13"/>
      <c r="E71" s="13"/>
      <c r="F71" s="13"/>
      <c r="G71" s="10" t="str">
        <f aca="false">IF(AND(E71&lt;&gt;"",F71&lt;&gt;""),E71*F71,"")</f>
        <v/>
      </c>
      <c r="H71" s="13"/>
      <c r="I71" s="12"/>
    </row>
    <row r="72" customFormat="false" ht="15" hidden="false" customHeight="false" outlineLevel="0" collapsed="false">
      <c r="A72" s="11"/>
      <c r="B72" s="12"/>
      <c r="C72" s="12"/>
      <c r="D72" s="13"/>
      <c r="E72" s="13"/>
      <c r="F72" s="13"/>
      <c r="G72" s="10" t="str">
        <f aca="false">IF(AND(E72&lt;&gt;"",F72&lt;&gt;""),E72*F72,"")</f>
        <v/>
      </c>
      <c r="H72" s="13"/>
      <c r="I72" s="12"/>
    </row>
    <row r="73" customFormat="false" ht="15" hidden="false" customHeight="false" outlineLevel="0" collapsed="false">
      <c r="A73" s="11"/>
      <c r="B73" s="12"/>
      <c r="C73" s="12"/>
      <c r="D73" s="13"/>
      <c r="E73" s="13"/>
      <c r="F73" s="13"/>
      <c r="G73" s="10" t="str">
        <f aca="false">IF(AND(E73&lt;&gt;"",F73&lt;&gt;""),E73*F73,"")</f>
        <v/>
      </c>
      <c r="H73" s="13"/>
      <c r="I73" s="12"/>
    </row>
    <row r="74" customFormat="false" ht="15" hidden="false" customHeight="false" outlineLevel="0" collapsed="false">
      <c r="A74" s="11"/>
      <c r="B74" s="12"/>
      <c r="C74" s="12"/>
      <c r="D74" s="13"/>
      <c r="E74" s="13"/>
      <c r="F74" s="13"/>
      <c r="G74" s="10" t="str">
        <f aca="false">IF(AND(E74&lt;&gt;"",F74&lt;&gt;""),E74*F74,"")</f>
        <v/>
      </c>
      <c r="H74" s="13"/>
      <c r="I74" s="12"/>
    </row>
    <row r="75" customFormat="false" ht="15" hidden="false" customHeight="false" outlineLevel="0" collapsed="false">
      <c r="A75" s="11"/>
      <c r="B75" s="12"/>
      <c r="C75" s="12"/>
      <c r="D75" s="13"/>
      <c r="E75" s="13"/>
      <c r="F75" s="13"/>
      <c r="G75" s="10" t="str">
        <f aca="false">IF(AND(E75&lt;&gt;"",F75&lt;&gt;""),E75*F75,"")</f>
        <v/>
      </c>
      <c r="H75" s="13"/>
      <c r="I75" s="12"/>
    </row>
    <row r="76" customFormat="false" ht="15" hidden="false" customHeight="false" outlineLevel="0" collapsed="false">
      <c r="A76" s="11"/>
      <c r="B76" s="12"/>
      <c r="C76" s="12"/>
      <c r="D76" s="13"/>
      <c r="E76" s="13"/>
      <c r="F76" s="13"/>
      <c r="G76" s="10" t="str">
        <f aca="false">IF(AND(E76&lt;&gt;"",F76&lt;&gt;""),E76*F76,"")</f>
        <v/>
      </c>
      <c r="H76" s="13"/>
      <c r="I76" s="12"/>
    </row>
    <row r="77" customFormat="false" ht="15" hidden="false" customHeight="false" outlineLevel="0" collapsed="false">
      <c r="A77" s="11"/>
      <c r="B77" s="12"/>
      <c r="C77" s="12"/>
      <c r="D77" s="13"/>
      <c r="E77" s="13"/>
      <c r="F77" s="13"/>
      <c r="G77" s="10" t="str">
        <f aca="false">IF(AND(E77&lt;&gt;"",F77&lt;&gt;""),E77*F77,"")</f>
        <v/>
      </c>
      <c r="H77" s="13"/>
      <c r="I77" s="12"/>
    </row>
    <row r="78" customFormat="false" ht="15" hidden="false" customHeight="false" outlineLevel="0" collapsed="false">
      <c r="A78" s="11"/>
      <c r="B78" s="12"/>
      <c r="C78" s="12"/>
      <c r="D78" s="13"/>
      <c r="E78" s="13"/>
      <c r="F78" s="13"/>
      <c r="G78" s="10" t="str">
        <f aca="false">IF(AND(E78&lt;&gt;"",F78&lt;&gt;""),E78*F78,"")</f>
        <v/>
      </c>
      <c r="H78" s="13"/>
      <c r="I78" s="12"/>
    </row>
    <row r="79" customFormat="false" ht="15" hidden="false" customHeight="false" outlineLevel="0" collapsed="false">
      <c r="A79" s="11"/>
      <c r="B79" s="12"/>
      <c r="C79" s="12"/>
      <c r="D79" s="13"/>
      <c r="E79" s="13"/>
      <c r="F79" s="13"/>
      <c r="G79" s="10" t="str">
        <f aca="false">IF(AND(E79&lt;&gt;"",F79&lt;&gt;""),E79*F79,"")</f>
        <v/>
      </c>
      <c r="H79" s="13"/>
      <c r="I79" s="12"/>
    </row>
    <row r="80" customFormat="false" ht="15" hidden="false" customHeight="false" outlineLevel="0" collapsed="false">
      <c r="A80" s="11"/>
      <c r="B80" s="12"/>
      <c r="C80" s="12"/>
      <c r="D80" s="13"/>
      <c r="E80" s="13"/>
      <c r="F80" s="13"/>
      <c r="G80" s="10" t="str">
        <f aca="false">IF(AND(E80&lt;&gt;"",F80&lt;&gt;""),E80*F80,"")</f>
        <v/>
      </c>
      <c r="H80" s="13"/>
      <c r="I80" s="12"/>
    </row>
    <row r="81" customFormat="false" ht="15" hidden="false" customHeight="false" outlineLevel="0" collapsed="false">
      <c r="A81" s="11"/>
      <c r="B81" s="12"/>
      <c r="C81" s="12"/>
      <c r="D81" s="13"/>
      <c r="E81" s="13"/>
      <c r="F81" s="13"/>
      <c r="G81" s="10" t="str">
        <f aca="false">IF(AND(E81&lt;&gt;"",F81&lt;&gt;""),E81*F81,"")</f>
        <v/>
      </c>
      <c r="H81" s="13"/>
      <c r="I81" s="12"/>
    </row>
    <row r="82" customFormat="false" ht="15" hidden="false" customHeight="false" outlineLevel="0" collapsed="false">
      <c r="A82" s="11"/>
      <c r="B82" s="12"/>
      <c r="C82" s="12"/>
      <c r="D82" s="13"/>
      <c r="E82" s="13"/>
      <c r="F82" s="13"/>
      <c r="G82" s="10" t="str">
        <f aca="false">IF(AND(E82&lt;&gt;"",F82&lt;&gt;""),E82*F82,"")</f>
        <v/>
      </c>
      <c r="H82" s="13"/>
      <c r="I82" s="12"/>
    </row>
    <row r="83" customFormat="false" ht="15" hidden="false" customHeight="false" outlineLevel="0" collapsed="false">
      <c r="A83" s="11"/>
      <c r="B83" s="12"/>
      <c r="C83" s="12"/>
      <c r="D83" s="13"/>
      <c r="E83" s="13"/>
      <c r="F83" s="13"/>
      <c r="G83" s="10" t="str">
        <f aca="false">IF(AND(E83&lt;&gt;"",F83&lt;&gt;""),E83*F83,"")</f>
        <v/>
      </c>
      <c r="H83" s="13"/>
      <c r="I83" s="12"/>
    </row>
    <row r="84" customFormat="false" ht="15" hidden="false" customHeight="false" outlineLevel="0" collapsed="false">
      <c r="A84" s="11"/>
      <c r="B84" s="12"/>
      <c r="C84" s="12"/>
      <c r="D84" s="13"/>
      <c r="E84" s="13"/>
      <c r="F84" s="13"/>
      <c r="G84" s="10" t="str">
        <f aca="false">IF(AND(E84&lt;&gt;"",F84&lt;&gt;""),E84*F84,"")</f>
        <v/>
      </c>
      <c r="H84" s="13"/>
      <c r="I84" s="12"/>
    </row>
    <row r="85" customFormat="false" ht="15" hidden="false" customHeight="false" outlineLevel="0" collapsed="false">
      <c r="A85" s="11"/>
      <c r="B85" s="12"/>
      <c r="C85" s="12"/>
      <c r="D85" s="13"/>
      <c r="E85" s="13"/>
      <c r="F85" s="13"/>
      <c r="G85" s="10" t="str">
        <f aca="false">IF(AND(E85&lt;&gt;"",F85&lt;&gt;""),E85*F85,"")</f>
        <v/>
      </c>
      <c r="H85" s="13"/>
      <c r="I85" s="12"/>
    </row>
    <row r="86" customFormat="false" ht="15" hidden="false" customHeight="false" outlineLevel="0" collapsed="false">
      <c r="A86" s="11"/>
      <c r="B86" s="12"/>
      <c r="C86" s="12"/>
      <c r="D86" s="13"/>
      <c r="E86" s="13"/>
      <c r="F86" s="13"/>
      <c r="G86" s="10" t="str">
        <f aca="false">IF(AND(E86&lt;&gt;"",F86&lt;&gt;""),E86*F86,"")</f>
        <v/>
      </c>
      <c r="H86" s="13"/>
      <c r="I86" s="12"/>
    </row>
    <row r="87" customFormat="false" ht="15" hidden="false" customHeight="false" outlineLevel="0" collapsed="false">
      <c r="A87" s="11"/>
      <c r="B87" s="12"/>
      <c r="C87" s="12"/>
      <c r="D87" s="13"/>
      <c r="E87" s="13"/>
      <c r="F87" s="13"/>
      <c r="G87" s="10" t="str">
        <f aca="false">IF(AND(E87&lt;&gt;"",F87&lt;&gt;""),E87*F87,"")</f>
        <v/>
      </c>
      <c r="H87" s="13"/>
      <c r="I87" s="12"/>
    </row>
    <row r="88" customFormat="false" ht="15" hidden="false" customHeight="false" outlineLevel="0" collapsed="false">
      <c r="A88" s="11"/>
      <c r="B88" s="12"/>
      <c r="C88" s="12"/>
      <c r="D88" s="13"/>
      <c r="E88" s="13"/>
      <c r="F88" s="13"/>
      <c r="G88" s="10" t="str">
        <f aca="false">IF(AND(E88&lt;&gt;"",F88&lt;&gt;""),E88*F88,"")</f>
        <v/>
      </c>
      <c r="H88" s="13"/>
      <c r="I88" s="12"/>
    </row>
    <row r="89" customFormat="false" ht="15" hidden="false" customHeight="false" outlineLevel="0" collapsed="false">
      <c r="A89" s="11"/>
      <c r="B89" s="12"/>
      <c r="C89" s="12"/>
      <c r="D89" s="13"/>
      <c r="E89" s="13"/>
      <c r="F89" s="13"/>
      <c r="G89" s="10" t="str">
        <f aca="false">IF(AND(E89&lt;&gt;"",F89&lt;&gt;""),E89*F89,"")</f>
        <v/>
      </c>
      <c r="H89" s="13"/>
      <c r="I89" s="12"/>
    </row>
    <row r="90" customFormat="false" ht="15" hidden="false" customHeight="false" outlineLevel="0" collapsed="false">
      <c r="A90" s="11"/>
      <c r="B90" s="12"/>
      <c r="C90" s="12"/>
      <c r="D90" s="13"/>
      <c r="E90" s="13"/>
      <c r="F90" s="13"/>
      <c r="G90" s="10" t="str">
        <f aca="false">IF(AND(E90&lt;&gt;"",F90&lt;&gt;""),E90*F90,"")</f>
        <v/>
      </c>
      <c r="H90" s="13"/>
      <c r="I90" s="12"/>
    </row>
    <row r="91" customFormat="false" ht="15" hidden="false" customHeight="false" outlineLevel="0" collapsed="false">
      <c r="A91" s="11"/>
      <c r="B91" s="12"/>
      <c r="C91" s="12"/>
      <c r="D91" s="13"/>
      <c r="E91" s="13"/>
      <c r="F91" s="13"/>
      <c r="G91" s="10" t="str">
        <f aca="false">IF(AND(E91&lt;&gt;"",F91&lt;&gt;""),E91*F91,"")</f>
        <v/>
      </c>
      <c r="H91" s="13"/>
      <c r="I91" s="12"/>
    </row>
    <row r="92" customFormat="false" ht="15" hidden="false" customHeight="false" outlineLevel="0" collapsed="false">
      <c r="A92" s="11"/>
      <c r="B92" s="12"/>
      <c r="C92" s="12"/>
      <c r="D92" s="13"/>
      <c r="E92" s="13"/>
      <c r="F92" s="13"/>
      <c r="G92" s="10" t="str">
        <f aca="false">IF(AND(E92&lt;&gt;"",F92&lt;&gt;""),E92*F92,"")</f>
        <v/>
      </c>
      <c r="H92" s="13"/>
      <c r="I92" s="12"/>
    </row>
    <row r="93" customFormat="false" ht="15" hidden="false" customHeight="false" outlineLevel="0" collapsed="false">
      <c r="A93" s="11"/>
      <c r="B93" s="12"/>
      <c r="C93" s="12"/>
      <c r="D93" s="13"/>
      <c r="E93" s="13"/>
      <c r="F93" s="13"/>
      <c r="G93" s="10" t="str">
        <f aca="false">IF(AND(E93&lt;&gt;"",F93&lt;&gt;""),E93*F93,"")</f>
        <v/>
      </c>
      <c r="H93" s="13"/>
      <c r="I93" s="12"/>
    </row>
    <row r="94" customFormat="false" ht="15" hidden="false" customHeight="false" outlineLevel="0" collapsed="false">
      <c r="A94" s="11"/>
      <c r="B94" s="12"/>
      <c r="C94" s="12"/>
      <c r="D94" s="13"/>
      <c r="E94" s="13"/>
      <c r="F94" s="13"/>
      <c r="G94" s="10" t="str">
        <f aca="false">IF(AND(E94&lt;&gt;"",F94&lt;&gt;""),E94*F94,"")</f>
        <v/>
      </c>
      <c r="H94" s="13"/>
      <c r="I94" s="12"/>
    </row>
    <row r="95" customFormat="false" ht="15" hidden="false" customHeight="false" outlineLevel="0" collapsed="false">
      <c r="A95" s="11"/>
      <c r="B95" s="12"/>
      <c r="C95" s="12"/>
      <c r="D95" s="13"/>
      <c r="E95" s="13"/>
      <c r="F95" s="13"/>
      <c r="G95" s="10" t="str">
        <f aca="false">IF(AND(E95&lt;&gt;"",F95&lt;&gt;""),E95*F95,"")</f>
        <v/>
      </c>
      <c r="H95" s="13"/>
      <c r="I95" s="12"/>
    </row>
    <row r="96" customFormat="false" ht="15" hidden="false" customHeight="false" outlineLevel="0" collapsed="false">
      <c r="A96" s="11"/>
      <c r="B96" s="12"/>
      <c r="C96" s="12"/>
      <c r="D96" s="13"/>
      <c r="E96" s="13"/>
      <c r="F96" s="13"/>
      <c r="G96" s="10" t="str">
        <f aca="false">IF(AND(E96&lt;&gt;"",F96&lt;&gt;""),E96*F96,"")</f>
        <v/>
      </c>
      <c r="H96" s="13"/>
      <c r="I96" s="12"/>
    </row>
    <row r="97" customFormat="false" ht="15" hidden="false" customHeight="false" outlineLevel="0" collapsed="false">
      <c r="A97" s="11"/>
      <c r="B97" s="12"/>
      <c r="C97" s="12"/>
      <c r="D97" s="13"/>
      <c r="E97" s="13"/>
      <c r="F97" s="13"/>
      <c r="G97" s="10" t="str">
        <f aca="false">IF(AND(E97&lt;&gt;"",F97&lt;&gt;""),E97*F97,"")</f>
        <v/>
      </c>
      <c r="H97" s="13"/>
      <c r="I97" s="12"/>
    </row>
    <row r="98" customFormat="false" ht="15" hidden="false" customHeight="false" outlineLevel="0" collapsed="false">
      <c r="A98" s="11"/>
      <c r="B98" s="12"/>
      <c r="C98" s="12"/>
      <c r="D98" s="13"/>
      <c r="E98" s="13"/>
      <c r="F98" s="13"/>
      <c r="G98" s="10" t="str">
        <f aca="false">IF(AND(E98&lt;&gt;"",F98&lt;&gt;""),E98*F98,"")</f>
        <v/>
      </c>
      <c r="H98" s="13"/>
      <c r="I98" s="12"/>
    </row>
    <row r="99" customFormat="false" ht="15" hidden="false" customHeight="false" outlineLevel="0" collapsed="false">
      <c r="A99" s="11"/>
      <c r="B99" s="12"/>
      <c r="C99" s="12"/>
      <c r="D99" s="13"/>
      <c r="E99" s="13"/>
      <c r="F99" s="13"/>
      <c r="G99" s="10" t="str">
        <f aca="false">IF(AND(E99&lt;&gt;"",F99&lt;&gt;""),E99*F99,"")</f>
        <v/>
      </c>
      <c r="H99" s="13"/>
      <c r="I99" s="12"/>
    </row>
    <row r="100" customFormat="false" ht="15" hidden="false" customHeight="false" outlineLevel="0" collapsed="false">
      <c r="A100" s="11"/>
      <c r="B100" s="12"/>
      <c r="C100" s="12"/>
      <c r="D100" s="13"/>
      <c r="E100" s="13"/>
      <c r="F100" s="13"/>
      <c r="G100" s="10" t="str">
        <f aca="false">IF(AND(E100&lt;&gt;"",F100&lt;&gt;""),E100*F100,"")</f>
        <v/>
      </c>
      <c r="H100" s="13"/>
      <c r="I100" s="12"/>
    </row>
    <row r="101" customFormat="false" ht="15" hidden="false" customHeight="false" outlineLevel="0" collapsed="false">
      <c r="A101" s="11"/>
      <c r="B101" s="12"/>
      <c r="C101" s="12"/>
      <c r="D101" s="13"/>
      <c r="E101" s="13"/>
      <c r="F101" s="13"/>
      <c r="G101" s="10" t="str">
        <f aca="false">IF(AND(E101&lt;&gt;"",F101&lt;&gt;""),E101*F101,"")</f>
        <v/>
      </c>
      <c r="H101" s="13"/>
      <c r="I101" s="12"/>
    </row>
    <row r="102" customFormat="false" ht="15" hidden="false" customHeight="false" outlineLevel="0" collapsed="false">
      <c r="A102" s="11"/>
      <c r="B102" s="12"/>
      <c r="C102" s="12"/>
      <c r="D102" s="13"/>
      <c r="E102" s="13"/>
      <c r="F102" s="13"/>
      <c r="G102" s="10" t="str">
        <f aca="false">IF(AND(E102&lt;&gt;"",F102&lt;&gt;""),E102*F102,"")</f>
        <v/>
      </c>
      <c r="H102" s="13"/>
      <c r="I102" s="12"/>
    </row>
    <row r="103" customFormat="false" ht="15" hidden="false" customHeight="false" outlineLevel="0" collapsed="false">
      <c r="A103" s="11"/>
      <c r="B103" s="12"/>
      <c r="C103" s="12"/>
      <c r="D103" s="13"/>
      <c r="E103" s="13"/>
      <c r="F103" s="13"/>
      <c r="G103" s="10" t="str">
        <f aca="false">IF(AND(E103&lt;&gt;"",F103&lt;&gt;""),E103*F103,"")</f>
        <v/>
      </c>
      <c r="H103" s="13"/>
      <c r="I103" s="12"/>
    </row>
    <row r="104" customFormat="false" ht="15" hidden="false" customHeight="false" outlineLevel="0" collapsed="false">
      <c r="A104" s="11"/>
      <c r="B104" s="12"/>
      <c r="C104" s="12"/>
      <c r="D104" s="13"/>
      <c r="E104" s="13"/>
      <c r="F104" s="13"/>
      <c r="G104" s="10" t="str">
        <f aca="false">IF(AND(E104&lt;&gt;"",F104&lt;&gt;""),E104*F104,"")</f>
        <v/>
      </c>
      <c r="H104" s="13"/>
      <c r="I104" s="12"/>
    </row>
    <row r="105" customFormat="false" ht="15" hidden="false" customHeight="false" outlineLevel="0" collapsed="false">
      <c r="A105" s="11"/>
      <c r="B105" s="12"/>
      <c r="C105" s="12"/>
      <c r="D105" s="13"/>
      <c r="E105" s="13"/>
      <c r="F105" s="13"/>
      <c r="G105" s="10" t="str">
        <f aca="false">IF(AND(E105&lt;&gt;"",F105&lt;&gt;""),E105*F105,"")</f>
        <v/>
      </c>
      <c r="H105" s="13"/>
      <c r="I105" s="12"/>
    </row>
    <row r="106" customFormat="false" ht="15" hidden="false" customHeight="false" outlineLevel="0" collapsed="false">
      <c r="A106" s="11"/>
      <c r="B106" s="12"/>
      <c r="C106" s="12"/>
      <c r="D106" s="13"/>
      <c r="E106" s="13"/>
      <c r="F106" s="13"/>
      <c r="G106" s="10" t="str">
        <f aca="false">IF(AND(E106&lt;&gt;"",F106&lt;&gt;""),E106*F106,"")</f>
        <v/>
      </c>
      <c r="H106" s="13"/>
      <c r="I106" s="12"/>
    </row>
    <row r="107" customFormat="false" ht="15" hidden="false" customHeight="false" outlineLevel="0" collapsed="false">
      <c r="A107" s="11"/>
      <c r="B107" s="12"/>
      <c r="C107" s="12"/>
      <c r="D107" s="13"/>
      <c r="E107" s="13"/>
      <c r="F107" s="13"/>
      <c r="G107" s="10" t="str">
        <f aca="false">IF(AND(E107&lt;&gt;"",F107&lt;&gt;""),E107*F107,"")</f>
        <v/>
      </c>
      <c r="H107" s="13"/>
      <c r="I107" s="12"/>
    </row>
    <row r="108" customFormat="false" ht="15" hidden="false" customHeight="false" outlineLevel="0" collapsed="false">
      <c r="A108" s="11"/>
      <c r="B108" s="12"/>
      <c r="C108" s="12"/>
      <c r="D108" s="13"/>
      <c r="E108" s="13"/>
      <c r="F108" s="13"/>
      <c r="G108" s="10" t="str">
        <f aca="false">IF(AND(E108&lt;&gt;"",F108&lt;&gt;""),E108*F108,"")</f>
        <v/>
      </c>
      <c r="H108" s="13"/>
      <c r="I108" s="12"/>
    </row>
    <row r="109" customFormat="false" ht="15" hidden="false" customHeight="false" outlineLevel="0" collapsed="false">
      <c r="A109" s="11"/>
      <c r="B109" s="12"/>
      <c r="C109" s="12"/>
      <c r="D109" s="13"/>
      <c r="E109" s="13"/>
      <c r="F109" s="13"/>
      <c r="G109" s="10" t="str">
        <f aca="false">IF(AND(E109&lt;&gt;"",F109&lt;&gt;""),E109*F109,"")</f>
        <v/>
      </c>
      <c r="H109" s="13"/>
      <c r="I109" s="12"/>
    </row>
    <row r="110" customFormat="false" ht="15" hidden="false" customHeight="false" outlineLevel="0" collapsed="false">
      <c r="A110" s="11"/>
      <c r="B110" s="12"/>
      <c r="C110" s="12"/>
      <c r="D110" s="13"/>
      <c r="E110" s="13"/>
      <c r="F110" s="13"/>
      <c r="G110" s="10" t="str">
        <f aca="false">IF(AND(E110&lt;&gt;"",F110&lt;&gt;""),E110*F110,"")</f>
        <v/>
      </c>
      <c r="H110" s="13"/>
      <c r="I110" s="12"/>
    </row>
    <row r="111" customFormat="false" ht="15" hidden="false" customHeight="false" outlineLevel="0" collapsed="false">
      <c r="A111" s="11"/>
      <c r="B111" s="12"/>
      <c r="C111" s="12"/>
      <c r="D111" s="13"/>
      <c r="E111" s="13"/>
      <c r="F111" s="13"/>
      <c r="G111" s="10" t="str">
        <f aca="false">IF(AND(E111&lt;&gt;"",F111&lt;&gt;""),E111*F111,"")</f>
        <v/>
      </c>
      <c r="H111" s="13"/>
      <c r="I111" s="12"/>
    </row>
    <row r="112" customFormat="false" ht="15" hidden="false" customHeight="false" outlineLevel="0" collapsed="false">
      <c r="A112" s="11"/>
      <c r="B112" s="12"/>
      <c r="C112" s="12"/>
      <c r="D112" s="13"/>
      <c r="E112" s="13"/>
      <c r="F112" s="13"/>
      <c r="G112" s="10" t="str">
        <f aca="false">IF(AND(E112&lt;&gt;"",F112&lt;&gt;""),E112*F112,"")</f>
        <v/>
      </c>
      <c r="H112" s="13"/>
      <c r="I112" s="12"/>
    </row>
    <row r="113" customFormat="false" ht="15" hidden="false" customHeight="false" outlineLevel="0" collapsed="false">
      <c r="A113" s="11"/>
      <c r="B113" s="12"/>
      <c r="C113" s="12"/>
      <c r="D113" s="13"/>
      <c r="E113" s="13"/>
      <c r="F113" s="13"/>
      <c r="G113" s="10" t="str">
        <f aca="false">IF(AND(E113&lt;&gt;"",F113&lt;&gt;""),E113*F113,"")</f>
        <v/>
      </c>
      <c r="H113" s="13"/>
      <c r="I113" s="12"/>
    </row>
    <row r="114" customFormat="false" ht="15" hidden="false" customHeight="false" outlineLevel="0" collapsed="false">
      <c r="A114" s="11"/>
      <c r="B114" s="12"/>
      <c r="C114" s="12"/>
      <c r="D114" s="13"/>
      <c r="E114" s="13"/>
      <c r="F114" s="13"/>
      <c r="G114" s="10" t="str">
        <f aca="false">IF(AND(E114&lt;&gt;"",F114&lt;&gt;""),E114*F114,"")</f>
        <v/>
      </c>
      <c r="H114" s="13"/>
      <c r="I114" s="12"/>
    </row>
    <row r="115" customFormat="false" ht="15" hidden="false" customHeight="false" outlineLevel="0" collapsed="false">
      <c r="A115" s="11"/>
      <c r="B115" s="12"/>
      <c r="C115" s="12"/>
      <c r="D115" s="13"/>
      <c r="E115" s="13"/>
      <c r="F115" s="13"/>
      <c r="G115" s="10" t="str">
        <f aca="false">IF(AND(E115&lt;&gt;"",F115&lt;&gt;""),E115*F115,"")</f>
        <v/>
      </c>
      <c r="H115" s="13"/>
      <c r="I115" s="12"/>
    </row>
    <row r="116" customFormat="false" ht="15" hidden="false" customHeight="false" outlineLevel="0" collapsed="false">
      <c r="A116" s="11"/>
      <c r="B116" s="12"/>
      <c r="C116" s="12"/>
      <c r="D116" s="13"/>
      <c r="E116" s="13"/>
      <c r="F116" s="13"/>
      <c r="G116" s="10" t="str">
        <f aca="false">IF(AND(E116&lt;&gt;"",F116&lt;&gt;""),E116*F116,"")</f>
        <v/>
      </c>
      <c r="H116" s="13"/>
      <c r="I116" s="12"/>
    </row>
    <row r="117" customFormat="false" ht="15" hidden="false" customHeight="false" outlineLevel="0" collapsed="false">
      <c r="A117" s="11"/>
      <c r="B117" s="12"/>
      <c r="C117" s="12"/>
      <c r="D117" s="13"/>
      <c r="E117" s="13"/>
      <c r="F117" s="13"/>
      <c r="G117" s="10" t="str">
        <f aca="false">IF(AND(E117&lt;&gt;"",F117&lt;&gt;""),E117*F117,"")</f>
        <v/>
      </c>
      <c r="H117" s="13"/>
      <c r="I117" s="12"/>
    </row>
    <row r="118" customFormat="false" ht="15" hidden="false" customHeight="false" outlineLevel="0" collapsed="false">
      <c r="A118" s="11"/>
      <c r="B118" s="12"/>
      <c r="C118" s="12"/>
      <c r="D118" s="13"/>
      <c r="E118" s="13"/>
      <c r="F118" s="13"/>
      <c r="G118" s="10" t="str">
        <f aca="false">IF(AND(E118&lt;&gt;"",F118&lt;&gt;""),E118*F118,"")</f>
        <v/>
      </c>
      <c r="H118" s="13"/>
      <c r="I118" s="12"/>
    </row>
    <row r="119" customFormat="false" ht="15" hidden="false" customHeight="false" outlineLevel="0" collapsed="false">
      <c r="A119" s="11"/>
      <c r="B119" s="12"/>
      <c r="C119" s="12"/>
      <c r="D119" s="13"/>
      <c r="E119" s="13"/>
      <c r="F119" s="13"/>
      <c r="G119" s="10" t="str">
        <f aca="false">IF(AND(E119&lt;&gt;"",F119&lt;&gt;""),E119*F119,"")</f>
        <v/>
      </c>
      <c r="H119" s="13"/>
      <c r="I119" s="12"/>
    </row>
    <row r="120" customFormat="false" ht="15" hidden="false" customHeight="false" outlineLevel="0" collapsed="false">
      <c r="A120" s="11"/>
      <c r="B120" s="12"/>
      <c r="C120" s="12"/>
      <c r="D120" s="13"/>
      <c r="E120" s="13"/>
      <c r="F120" s="13"/>
      <c r="G120" s="10" t="str">
        <f aca="false">IF(AND(E120&lt;&gt;"",F120&lt;&gt;""),E120*F120,"")</f>
        <v/>
      </c>
      <c r="H120" s="13"/>
      <c r="I120" s="12"/>
    </row>
    <row r="121" customFormat="false" ht="15" hidden="false" customHeight="false" outlineLevel="0" collapsed="false">
      <c r="A121" s="11"/>
      <c r="B121" s="12"/>
      <c r="C121" s="12"/>
      <c r="D121" s="13"/>
      <c r="E121" s="13"/>
      <c r="F121" s="13"/>
      <c r="G121" s="10" t="str">
        <f aca="false">IF(AND(E121&lt;&gt;"",F121&lt;&gt;""),E121*F121,"")</f>
        <v/>
      </c>
      <c r="H121" s="13"/>
      <c r="I121" s="12"/>
    </row>
    <row r="122" customFormat="false" ht="15" hidden="false" customHeight="false" outlineLevel="0" collapsed="false">
      <c r="A122" s="11"/>
      <c r="B122" s="12"/>
      <c r="C122" s="12"/>
      <c r="D122" s="13"/>
      <c r="E122" s="13"/>
      <c r="F122" s="13"/>
      <c r="G122" s="10" t="str">
        <f aca="false">IF(AND(E122&lt;&gt;"",F122&lt;&gt;""),E122*F122,"")</f>
        <v/>
      </c>
      <c r="H122" s="13"/>
      <c r="I122" s="12"/>
    </row>
    <row r="123" customFormat="false" ht="15" hidden="false" customHeight="false" outlineLevel="0" collapsed="false">
      <c r="A123" s="11"/>
      <c r="B123" s="12"/>
      <c r="C123" s="12"/>
      <c r="D123" s="13"/>
      <c r="E123" s="13"/>
      <c r="F123" s="13"/>
      <c r="G123" s="10" t="str">
        <f aca="false">IF(AND(E123&lt;&gt;"",F123&lt;&gt;""),E123*F123,"")</f>
        <v/>
      </c>
      <c r="H123" s="13"/>
      <c r="I123" s="12"/>
    </row>
    <row r="124" customFormat="false" ht="15" hidden="false" customHeight="false" outlineLevel="0" collapsed="false">
      <c r="A124" s="11"/>
      <c r="B124" s="12"/>
      <c r="C124" s="12"/>
      <c r="D124" s="13"/>
      <c r="E124" s="13"/>
      <c r="F124" s="13"/>
      <c r="G124" s="10" t="str">
        <f aca="false">IF(AND(E124&lt;&gt;"",F124&lt;&gt;""),E124*F124,"")</f>
        <v/>
      </c>
      <c r="H124" s="13"/>
      <c r="I124" s="12"/>
    </row>
    <row r="125" customFormat="false" ht="15" hidden="false" customHeight="false" outlineLevel="0" collapsed="false">
      <c r="A125" s="11"/>
      <c r="B125" s="12"/>
      <c r="C125" s="12"/>
      <c r="D125" s="13"/>
      <c r="E125" s="13"/>
      <c r="F125" s="13"/>
      <c r="G125" s="10" t="str">
        <f aca="false">IF(AND(E125&lt;&gt;"",F125&lt;&gt;""),E125*F125,"")</f>
        <v/>
      </c>
      <c r="H125" s="13"/>
      <c r="I125" s="12"/>
    </row>
    <row r="126" customFormat="false" ht="15" hidden="false" customHeight="false" outlineLevel="0" collapsed="false">
      <c r="A126" s="11"/>
      <c r="B126" s="12"/>
      <c r="C126" s="12"/>
      <c r="D126" s="13"/>
      <c r="E126" s="13"/>
      <c r="F126" s="13"/>
      <c r="G126" s="10" t="str">
        <f aca="false">IF(AND(E126&lt;&gt;"",F126&lt;&gt;""),E126*F126,"")</f>
        <v/>
      </c>
      <c r="H126" s="13"/>
      <c r="I126" s="12"/>
    </row>
    <row r="127" customFormat="false" ht="15" hidden="false" customHeight="false" outlineLevel="0" collapsed="false">
      <c r="A127" s="11"/>
      <c r="B127" s="12"/>
      <c r="C127" s="12"/>
      <c r="D127" s="13"/>
      <c r="E127" s="13"/>
      <c r="F127" s="13"/>
      <c r="G127" s="10" t="str">
        <f aca="false">IF(AND(E127&lt;&gt;"",F127&lt;&gt;""),E127*F127,"")</f>
        <v/>
      </c>
      <c r="H127" s="13"/>
      <c r="I127" s="12"/>
    </row>
    <row r="128" customFormat="false" ht="15" hidden="false" customHeight="false" outlineLevel="0" collapsed="false">
      <c r="A128" s="11"/>
      <c r="B128" s="12"/>
      <c r="C128" s="12"/>
      <c r="D128" s="13"/>
      <c r="E128" s="13"/>
      <c r="F128" s="13"/>
      <c r="G128" s="10" t="str">
        <f aca="false">IF(AND(E128&lt;&gt;"",F128&lt;&gt;""),E128*F128,"")</f>
        <v/>
      </c>
      <c r="H128" s="13"/>
      <c r="I128" s="12"/>
    </row>
    <row r="129" customFormat="false" ht="15" hidden="false" customHeight="false" outlineLevel="0" collapsed="false">
      <c r="A129" s="11"/>
      <c r="B129" s="12"/>
      <c r="C129" s="12"/>
      <c r="D129" s="13"/>
      <c r="E129" s="13"/>
      <c r="F129" s="13"/>
      <c r="G129" s="10" t="str">
        <f aca="false">IF(AND(E129&lt;&gt;"",F129&lt;&gt;""),E129*F129,"")</f>
        <v/>
      </c>
      <c r="H129" s="13"/>
      <c r="I129" s="12"/>
    </row>
    <row r="130" customFormat="false" ht="15" hidden="false" customHeight="false" outlineLevel="0" collapsed="false">
      <c r="A130" s="11"/>
      <c r="B130" s="12"/>
      <c r="C130" s="12"/>
      <c r="D130" s="13"/>
      <c r="E130" s="13"/>
      <c r="F130" s="13"/>
      <c r="G130" s="10" t="str">
        <f aca="false">IF(AND(E130&lt;&gt;"",F130&lt;&gt;""),E130*F130,"")</f>
        <v/>
      </c>
      <c r="H130" s="13"/>
      <c r="I130" s="12"/>
    </row>
    <row r="131" customFormat="false" ht="15" hidden="false" customHeight="false" outlineLevel="0" collapsed="false">
      <c r="A131" s="11"/>
      <c r="B131" s="12"/>
      <c r="C131" s="12"/>
      <c r="D131" s="13"/>
      <c r="E131" s="13"/>
      <c r="F131" s="13"/>
      <c r="G131" s="10" t="str">
        <f aca="false">IF(AND(E131&lt;&gt;"",F131&lt;&gt;""),E131*F131,"")</f>
        <v/>
      </c>
      <c r="H131" s="13"/>
      <c r="I131" s="12"/>
    </row>
    <row r="132" customFormat="false" ht="15" hidden="false" customHeight="false" outlineLevel="0" collapsed="false">
      <c r="A132" s="11"/>
      <c r="B132" s="12"/>
      <c r="C132" s="12"/>
      <c r="D132" s="13"/>
      <c r="E132" s="13"/>
      <c r="F132" s="13"/>
      <c r="G132" s="10" t="str">
        <f aca="false">IF(AND(E132&lt;&gt;"",F132&lt;&gt;""),E132*F132,"")</f>
        <v/>
      </c>
      <c r="H132" s="13"/>
      <c r="I132" s="12"/>
    </row>
    <row r="133" customFormat="false" ht="15" hidden="false" customHeight="false" outlineLevel="0" collapsed="false">
      <c r="A133" s="11"/>
      <c r="B133" s="12"/>
      <c r="C133" s="12"/>
      <c r="D133" s="13"/>
      <c r="E133" s="13"/>
      <c r="F133" s="13"/>
      <c r="G133" s="10" t="str">
        <f aca="false">IF(AND(E133&lt;&gt;"",F133&lt;&gt;""),E133*F133,"")</f>
        <v/>
      </c>
      <c r="H133" s="13"/>
      <c r="I133" s="12"/>
    </row>
    <row r="134" customFormat="false" ht="15" hidden="false" customHeight="false" outlineLevel="0" collapsed="false">
      <c r="A134" s="11"/>
      <c r="B134" s="12"/>
      <c r="C134" s="12"/>
      <c r="D134" s="13"/>
      <c r="E134" s="13"/>
      <c r="F134" s="13"/>
      <c r="G134" s="10" t="str">
        <f aca="false">IF(AND(E134&lt;&gt;"",F134&lt;&gt;""),E134*F134,"")</f>
        <v/>
      </c>
      <c r="H134" s="13"/>
      <c r="I134" s="12"/>
    </row>
    <row r="135" customFormat="false" ht="15" hidden="false" customHeight="false" outlineLevel="0" collapsed="false">
      <c r="A135" s="11"/>
      <c r="B135" s="12"/>
      <c r="C135" s="12"/>
      <c r="D135" s="13"/>
      <c r="E135" s="13"/>
      <c r="F135" s="13"/>
      <c r="G135" s="10" t="str">
        <f aca="false">IF(AND(E135&lt;&gt;"",F135&lt;&gt;""),E135*F135,"")</f>
        <v/>
      </c>
      <c r="H135" s="13"/>
      <c r="I135" s="12"/>
    </row>
    <row r="136" customFormat="false" ht="15" hidden="false" customHeight="false" outlineLevel="0" collapsed="false">
      <c r="A136" s="11"/>
      <c r="B136" s="12"/>
      <c r="C136" s="12"/>
      <c r="D136" s="13"/>
      <c r="E136" s="13"/>
      <c r="F136" s="13"/>
      <c r="G136" s="10" t="str">
        <f aca="false">IF(AND(E136&lt;&gt;"",F136&lt;&gt;""),E136*F136,"")</f>
        <v/>
      </c>
      <c r="H136" s="13"/>
      <c r="I136" s="12"/>
    </row>
    <row r="137" customFormat="false" ht="15" hidden="false" customHeight="false" outlineLevel="0" collapsed="false">
      <c r="A137" s="11"/>
      <c r="B137" s="12"/>
      <c r="C137" s="12"/>
      <c r="D137" s="13"/>
      <c r="E137" s="13"/>
      <c r="F137" s="13"/>
      <c r="G137" s="10" t="str">
        <f aca="false">IF(AND(E137&lt;&gt;"",F137&lt;&gt;""),E137*F137,"")</f>
        <v/>
      </c>
      <c r="H137" s="13"/>
      <c r="I137" s="12"/>
    </row>
    <row r="138" customFormat="false" ht="15" hidden="false" customHeight="false" outlineLevel="0" collapsed="false">
      <c r="A138" s="11"/>
      <c r="B138" s="12"/>
      <c r="C138" s="12"/>
      <c r="D138" s="13"/>
      <c r="E138" s="13"/>
      <c r="F138" s="13"/>
      <c r="G138" s="10" t="str">
        <f aca="false">IF(AND(E138&lt;&gt;"",F138&lt;&gt;""),E138*F138,"")</f>
        <v/>
      </c>
      <c r="H138" s="13"/>
      <c r="I138" s="12"/>
    </row>
    <row r="139" customFormat="false" ht="15" hidden="false" customHeight="false" outlineLevel="0" collapsed="false">
      <c r="A139" s="11"/>
      <c r="B139" s="12"/>
      <c r="C139" s="12"/>
      <c r="D139" s="13"/>
      <c r="E139" s="13"/>
      <c r="F139" s="13"/>
      <c r="G139" s="10" t="str">
        <f aca="false">IF(AND(E139&lt;&gt;"",F139&lt;&gt;""),E139*F139,"")</f>
        <v/>
      </c>
      <c r="H139" s="13"/>
      <c r="I139" s="12"/>
    </row>
    <row r="140" customFormat="false" ht="15" hidden="false" customHeight="false" outlineLevel="0" collapsed="false">
      <c r="A140" s="11"/>
      <c r="B140" s="12"/>
      <c r="C140" s="12"/>
      <c r="D140" s="13"/>
      <c r="E140" s="13"/>
      <c r="F140" s="13"/>
      <c r="G140" s="10" t="str">
        <f aca="false">IF(AND(E140&lt;&gt;"",F140&lt;&gt;""),E140*F140,"")</f>
        <v/>
      </c>
      <c r="H140" s="13"/>
      <c r="I140" s="12"/>
    </row>
    <row r="141" customFormat="false" ht="15" hidden="false" customHeight="false" outlineLevel="0" collapsed="false">
      <c r="A141" s="11"/>
      <c r="B141" s="12"/>
      <c r="C141" s="12"/>
      <c r="D141" s="13"/>
      <c r="E141" s="13"/>
      <c r="F141" s="13"/>
      <c r="G141" s="10" t="str">
        <f aca="false">IF(AND(E141&lt;&gt;"",F141&lt;&gt;""),E141*F141,"")</f>
        <v/>
      </c>
      <c r="H141" s="13"/>
      <c r="I141" s="12"/>
    </row>
    <row r="142" customFormat="false" ht="15" hidden="false" customHeight="false" outlineLevel="0" collapsed="false">
      <c r="A142" s="11"/>
      <c r="B142" s="12"/>
      <c r="C142" s="12"/>
      <c r="D142" s="13"/>
      <c r="E142" s="13"/>
      <c r="F142" s="13"/>
      <c r="G142" s="10" t="str">
        <f aca="false">IF(AND(E142&lt;&gt;"",F142&lt;&gt;""),E142*F142,"")</f>
        <v/>
      </c>
      <c r="H142" s="13"/>
      <c r="I142" s="12"/>
    </row>
    <row r="143" customFormat="false" ht="15" hidden="false" customHeight="false" outlineLevel="0" collapsed="false">
      <c r="A143" s="11"/>
      <c r="B143" s="12"/>
      <c r="C143" s="12"/>
      <c r="D143" s="13"/>
      <c r="E143" s="13"/>
      <c r="F143" s="13"/>
      <c r="G143" s="10" t="str">
        <f aca="false">IF(AND(E143&lt;&gt;"",F143&lt;&gt;""),E143*F143,"")</f>
        <v/>
      </c>
      <c r="H143" s="13"/>
      <c r="I143" s="12"/>
    </row>
    <row r="144" customFormat="false" ht="15" hidden="false" customHeight="false" outlineLevel="0" collapsed="false">
      <c r="A144" s="11"/>
      <c r="B144" s="12"/>
      <c r="C144" s="12"/>
      <c r="D144" s="13"/>
      <c r="E144" s="13"/>
      <c r="F144" s="13"/>
      <c r="G144" s="10" t="str">
        <f aca="false">IF(AND(E144&lt;&gt;"",F144&lt;&gt;""),E144*F144,"")</f>
        <v/>
      </c>
      <c r="H144" s="13"/>
      <c r="I144" s="12"/>
    </row>
    <row r="145" customFormat="false" ht="15" hidden="false" customHeight="false" outlineLevel="0" collapsed="false">
      <c r="A145" s="11"/>
      <c r="B145" s="12"/>
      <c r="C145" s="12"/>
      <c r="D145" s="13"/>
      <c r="E145" s="13"/>
      <c r="F145" s="13"/>
      <c r="G145" s="10" t="str">
        <f aca="false">IF(AND(E145&lt;&gt;"",F145&lt;&gt;""),E145*F145,"")</f>
        <v/>
      </c>
      <c r="H145" s="13"/>
      <c r="I145" s="12"/>
    </row>
    <row r="146" customFormat="false" ht="15" hidden="false" customHeight="false" outlineLevel="0" collapsed="false">
      <c r="A146" s="11"/>
      <c r="B146" s="12"/>
      <c r="C146" s="12"/>
      <c r="D146" s="13"/>
      <c r="E146" s="13"/>
      <c r="F146" s="13"/>
      <c r="G146" s="10" t="str">
        <f aca="false">IF(AND(E146&lt;&gt;"",F146&lt;&gt;""),E146*F146,"")</f>
        <v/>
      </c>
      <c r="H146" s="13"/>
      <c r="I146" s="12"/>
    </row>
    <row r="147" customFormat="false" ht="15" hidden="false" customHeight="false" outlineLevel="0" collapsed="false">
      <c r="A147" s="11"/>
      <c r="B147" s="12"/>
      <c r="C147" s="12"/>
      <c r="D147" s="13"/>
      <c r="E147" s="13"/>
      <c r="F147" s="13"/>
      <c r="G147" s="10" t="str">
        <f aca="false">IF(AND(E147&lt;&gt;"",F147&lt;&gt;""),E147*F147,"")</f>
        <v/>
      </c>
      <c r="H147" s="13"/>
      <c r="I147" s="12"/>
    </row>
    <row r="148" customFormat="false" ht="15" hidden="false" customHeight="false" outlineLevel="0" collapsed="false">
      <c r="A148" s="11"/>
      <c r="B148" s="12"/>
      <c r="C148" s="12"/>
      <c r="D148" s="13"/>
      <c r="E148" s="13"/>
      <c r="F148" s="13"/>
      <c r="G148" s="10" t="str">
        <f aca="false">IF(AND(E148&lt;&gt;"",F148&lt;&gt;""),E148*F148,"")</f>
        <v/>
      </c>
      <c r="H148" s="13"/>
      <c r="I148" s="12"/>
    </row>
    <row r="149" customFormat="false" ht="15" hidden="false" customHeight="false" outlineLevel="0" collapsed="false">
      <c r="A149" s="11"/>
      <c r="B149" s="12"/>
      <c r="C149" s="12"/>
      <c r="D149" s="13"/>
      <c r="E149" s="13"/>
      <c r="F149" s="13"/>
      <c r="G149" s="10" t="str">
        <f aca="false">IF(AND(E149&lt;&gt;"",F149&lt;&gt;""),E149*F149,"")</f>
        <v/>
      </c>
      <c r="H149" s="13"/>
      <c r="I149" s="12"/>
    </row>
    <row r="150" customFormat="false" ht="15" hidden="false" customHeight="false" outlineLevel="0" collapsed="false">
      <c r="A150" s="11"/>
      <c r="B150" s="12"/>
      <c r="C150" s="12"/>
      <c r="D150" s="13"/>
      <c r="E150" s="13"/>
      <c r="F150" s="13"/>
      <c r="G150" s="10" t="str">
        <f aca="false">IF(AND(E150&lt;&gt;"",F150&lt;&gt;""),E150*F150,"")</f>
        <v/>
      </c>
      <c r="H150" s="13"/>
      <c r="I150" s="12"/>
    </row>
    <row r="151" customFormat="false" ht="15" hidden="false" customHeight="false" outlineLevel="0" collapsed="false">
      <c r="A151" s="11"/>
      <c r="B151" s="12"/>
      <c r="C151" s="12"/>
      <c r="D151" s="13"/>
      <c r="E151" s="13"/>
      <c r="F151" s="13"/>
      <c r="G151" s="10" t="str">
        <f aca="false">IF(AND(E151&lt;&gt;"",F151&lt;&gt;""),E151*F151,"")</f>
        <v/>
      </c>
      <c r="H151" s="13"/>
      <c r="I151" s="12"/>
    </row>
    <row r="152" customFormat="false" ht="15" hidden="false" customHeight="false" outlineLevel="0" collapsed="false">
      <c r="A152" s="11"/>
      <c r="B152" s="12"/>
      <c r="C152" s="12"/>
      <c r="D152" s="13"/>
      <c r="E152" s="13"/>
      <c r="F152" s="13"/>
      <c r="G152" s="10" t="str">
        <f aca="false">IF(AND(E152&lt;&gt;"",F152&lt;&gt;""),E152*F152,"")</f>
        <v/>
      </c>
      <c r="H152" s="13"/>
      <c r="I152" s="12"/>
    </row>
    <row r="153" customFormat="false" ht="15" hidden="false" customHeight="false" outlineLevel="0" collapsed="false">
      <c r="A153" s="11"/>
      <c r="B153" s="12"/>
      <c r="C153" s="12"/>
      <c r="D153" s="13"/>
      <c r="E153" s="13"/>
      <c r="F153" s="13"/>
      <c r="G153" s="10" t="str">
        <f aca="false">IF(AND(E153&lt;&gt;"",F153&lt;&gt;""),E153*F153,"")</f>
        <v/>
      </c>
      <c r="H153" s="13"/>
      <c r="I153" s="12"/>
    </row>
    <row r="154" customFormat="false" ht="15" hidden="false" customHeight="false" outlineLevel="0" collapsed="false">
      <c r="A154" s="11"/>
      <c r="B154" s="12"/>
      <c r="C154" s="12"/>
      <c r="D154" s="13"/>
      <c r="E154" s="13"/>
      <c r="F154" s="13"/>
      <c r="G154" s="10" t="str">
        <f aca="false">IF(AND(E154&lt;&gt;"",F154&lt;&gt;""),E154*F154,"")</f>
        <v/>
      </c>
      <c r="H154" s="13"/>
      <c r="I154" s="12"/>
    </row>
    <row r="155" customFormat="false" ht="15" hidden="false" customHeight="false" outlineLevel="0" collapsed="false">
      <c r="A155" s="11"/>
      <c r="B155" s="12"/>
      <c r="C155" s="12"/>
      <c r="D155" s="13"/>
      <c r="E155" s="13"/>
      <c r="F155" s="13"/>
      <c r="G155" s="10" t="str">
        <f aca="false">IF(AND(E155&lt;&gt;"",F155&lt;&gt;""),E155*F155,"")</f>
        <v/>
      </c>
      <c r="H155" s="13"/>
      <c r="I155" s="12"/>
    </row>
    <row r="156" customFormat="false" ht="15" hidden="false" customHeight="false" outlineLevel="0" collapsed="false">
      <c r="A156" s="11"/>
      <c r="B156" s="12"/>
      <c r="C156" s="12"/>
      <c r="D156" s="13"/>
      <c r="E156" s="13"/>
      <c r="F156" s="13"/>
      <c r="G156" s="10" t="str">
        <f aca="false">IF(AND(E156&lt;&gt;"",F156&lt;&gt;""),E156*F156,"")</f>
        <v/>
      </c>
      <c r="H156" s="13"/>
      <c r="I156" s="12"/>
    </row>
    <row r="157" customFormat="false" ht="15" hidden="false" customHeight="false" outlineLevel="0" collapsed="false">
      <c r="A157" s="11"/>
      <c r="B157" s="12"/>
      <c r="C157" s="12"/>
      <c r="D157" s="13"/>
      <c r="E157" s="13"/>
      <c r="F157" s="13"/>
      <c r="G157" s="10" t="str">
        <f aca="false">IF(AND(E157&lt;&gt;"",F157&lt;&gt;""),E157*F157,"")</f>
        <v/>
      </c>
      <c r="H157" s="13"/>
      <c r="I157" s="12"/>
    </row>
    <row r="158" customFormat="false" ht="15" hidden="false" customHeight="false" outlineLevel="0" collapsed="false">
      <c r="A158" s="11"/>
      <c r="B158" s="12"/>
      <c r="C158" s="12"/>
      <c r="D158" s="13"/>
      <c r="E158" s="13"/>
      <c r="F158" s="13"/>
      <c r="G158" s="10" t="str">
        <f aca="false">IF(AND(E158&lt;&gt;"",F158&lt;&gt;""),E158*F158,"")</f>
        <v/>
      </c>
      <c r="H158" s="13"/>
      <c r="I158" s="12"/>
    </row>
    <row r="159" customFormat="false" ht="15" hidden="false" customHeight="false" outlineLevel="0" collapsed="false">
      <c r="A159" s="11"/>
      <c r="B159" s="12"/>
      <c r="C159" s="12"/>
      <c r="D159" s="13"/>
      <c r="E159" s="13"/>
      <c r="F159" s="13"/>
      <c r="G159" s="10" t="str">
        <f aca="false">IF(AND(E159&lt;&gt;"",F159&lt;&gt;""),E159*F159,"")</f>
        <v/>
      </c>
      <c r="H159" s="13"/>
      <c r="I159" s="12"/>
    </row>
    <row r="160" customFormat="false" ht="15" hidden="false" customHeight="false" outlineLevel="0" collapsed="false">
      <c r="A160" s="11"/>
      <c r="B160" s="12"/>
      <c r="C160" s="12"/>
      <c r="D160" s="13"/>
      <c r="E160" s="13"/>
      <c r="F160" s="13"/>
      <c r="G160" s="10" t="str">
        <f aca="false">IF(AND(E160&lt;&gt;"",F160&lt;&gt;""),E160*F160,"")</f>
        <v/>
      </c>
      <c r="H160" s="13"/>
      <c r="I160" s="12"/>
    </row>
    <row r="161" customFormat="false" ht="15" hidden="false" customHeight="false" outlineLevel="0" collapsed="false">
      <c r="A161" s="11"/>
      <c r="B161" s="12"/>
      <c r="C161" s="12"/>
      <c r="D161" s="13"/>
      <c r="E161" s="13"/>
      <c r="F161" s="13"/>
      <c r="G161" s="10" t="str">
        <f aca="false">IF(AND(E161&lt;&gt;"",F161&lt;&gt;""),E161*F161,"")</f>
        <v/>
      </c>
      <c r="H161" s="13"/>
      <c r="I161" s="12"/>
    </row>
    <row r="162" customFormat="false" ht="15" hidden="false" customHeight="false" outlineLevel="0" collapsed="false">
      <c r="A162" s="11"/>
      <c r="B162" s="12"/>
      <c r="C162" s="12"/>
      <c r="D162" s="13"/>
      <c r="E162" s="13"/>
      <c r="F162" s="13"/>
      <c r="G162" s="10" t="str">
        <f aca="false">IF(AND(E162&lt;&gt;"",F162&lt;&gt;""),E162*F162,"")</f>
        <v/>
      </c>
      <c r="H162" s="13"/>
      <c r="I162" s="12"/>
    </row>
    <row r="163" customFormat="false" ht="15" hidden="false" customHeight="false" outlineLevel="0" collapsed="false">
      <c r="A163" s="11"/>
      <c r="B163" s="12"/>
      <c r="C163" s="12"/>
      <c r="D163" s="13"/>
      <c r="E163" s="13"/>
      <c r="F163" s="13"/>
      <c r="G163" s="10" t="str">
        <f aca="false">IF(AND(E163&lt;&gt;"",F163&lt;&gt;""),E163*F163,"")</f>
        <v/>
      </c>
      <c r="H163" s="13"/>
      <c r="I163" s="12"/>
    </row>
    <row r="164" customFormat="false" ht="15" hidden="false" customHeight="false" outlineLevel="0" collapsed="false">
      <c r="A164" s="11"/>
      <c r="B164" s="12"/>
      <c r="C164" s="12"/>
      <c r="D164" s="13"/>
      <c r="E164" s="13"/>
      <c r="F164" s="13"/>
      <c r="G164" s="10" t="str">
        <f aca="false">IF(AND(E164&lt;&gt;"",F164&lt;&gt;""),E164*F164,"")</f>
        <v/>
      </c>
      <c r="H164" s="13"/>
      <c r="I164" s="12"/>
    </row>
    <row r="165" customFormat="false" ht="15" hidden="false" customHeight="false" outlineLevel="0" collapsed="false">
      <c r="A165" s="11"/>
      <c r="B165" s="12"/>
      <c r="C165" s="12"/>
      <c r="D165" s="13"/>
      <c r="E165" s="13"/>
      <c r="F165" s="13"/>
      <c r="G165" s="10" t="str">
        <f aca="false">IF(AND(E165&lt;&gt;"",F165&lt;&gt;""),E165*F165,"")</f>
        <v/>
      </c>
      <c r="H165" s="13"/>
      <c r="I165" s="12"/>
    </row>
    <row r="166" customFormat="false" ht="15" hidden="false" customHeight="false" outlineLevel="0" collapsed="false">
      <c r="A166" s="11"/>
      <c r="B166" s="12"/>
      <c r="C166" s="12"/>
      <c r="D166" s="13"/>
      <c r="E166" s="13"/>
      <c r="F166" s="13"/>
      <c r="G166" s="10" t="str">
        <f aca="false">IF(AND(E166&lt;&gt;"",F166&lt;&gt;""),E166*F166,"")</f>
        <v/>
      </c>
      <c r="H166" s="13"/>
      <c r="I166" s="12"/>
    </row>
    <row r="167" customFormat="false" ht="15" hidden="false" customHeight="false" outlineLevel="0" collapsed="false">
      <c r="A167" s="11"/>
      <c r="B167" s="12"/>
      <c r="C167" s="12"/>
      <c r="D167" s="13"/>
      <c r="E167" s="13"/>
      <c r="F167" s="13"/>
      <c r="G167" s="10" t="str">
        <f aca="false">IF(AND(E167&lt;&gt;"",F167&lt;&gt;""),E167*F167,"")</f>
        <v/>
      </c>
      <c r="H167" s="13"/>
      <c r="I167" s="12"/>
    </row>
    <row r="168" customFormat="false" ht="15" hidden="false" customHeight="false" outlineLevel="0" collapsed="false">
      <c r="A168" s="11"/>
      <c r="B168" s="12"/>
      <c r="C168" s="12"/>
      <c r="D168" s="13"/>
      <c r="E168" s="13"/>
      <c r="F168" s="13"/>
      <c r="G168" s="10" t="str">
        <f aca="false">IF(AND(E168&lt;&gt;"",F168&lt;&gt;""),E168*F168,"")</f>
        <v/>
      </c>
      <c r="H168" s="13"/>
      <c r="I168" s="12"/>
    </row>
    <row r="169" customFormat="false" ht="15" hidden="false" customHeight="false" outlineLevel="0" collapsed="false">
      <c r="A169" s="11"/>
      <c r="B169" s="12"/>
      <c r="C169" s="12"/>
      <c r="D169" s="13"/>
      <c r="E169" s="13"/>
      <c r="F169" s="13"/>
      <c r="G169" s="10" t="str">
        <f aca="false">IF(AND(E169&lt;&gt;"",F169&lt;&gt;""),E169*F169,"")</f>
        <v/>
      </c>
      <c r="H169" s="13"/>
      <c r="I169" s="12"/>
    </row>
    <row r="170" customFormat="false" ht="15" hidden="false" customHeight="false" outlineLevel="0" collapsed="false">
      <c r="A170" s="11"/>
      <c r="B170" s="12"/>
      <c r="C170" s="12"/>
      <c r="D170" s="13"/>
      <c r="E170" s="13"/>
      <c r="F170" s="13"/>
      <c r="G170" s="10" t="str">
        <f aca="false">IF(AND(E170&lt;&gt;"",F170&lt;&gt;""),E170*F170,"")</f>
        <v/>
      </c>
      <c r="H170" s="13"/>
      <c r="I170" s="12"/>
    </row>
    <row r="171" customFormat="false" ht="15" hidden="false" customHeight="false" outlineLevel="0" collapsed="false">
      <c r="A171" s="11"/>
      <c r="B171" s="12"/>
      <c r="C171" s="12"/>
      <c r="D171" s="13"/>
      <c r="E171" s="13"/>
      <c r="F171" s="13"/>
      <c r="G171" s="10" t="str">
        <f aca="false">IF(AND(E171&lt;&gt;"",F171&lt;&gt;""),E171*F171,"")</f>
        <v/>
      </c>
      <c r="H171" s="13"/>
      <c r="I171" s="12"/>
    </row>
    <row r="172" customFormat="false" ht="15" hidden="false" customHeight="false" outlineLevel="0" collapsed="false">
      <c r="A172" s="11"/>
      <c r="B172" s="12"/>
      <c r="C172" s="12"/>
      <c r="D172" s="13"/>
      <c r="E172" s="13"/>
      <c r="F172" s="13"/>
      <c r="G172" s="10" t="str">
        <f aca="false">IF(AND(E172&lt;&gt;"",F172&lt;&gt;""),E172*F172,"")</f>
        <v/>
      </c>
      <c r="H172" s="13"/>
      <c r="I172" s="12"/>
    </row>
    <row r="173" customFormat="false" ht="15" hidden="false" customHeight="false" outlineLevel="0" collapsed="false">
      <c r="A173" s="11"/>
      <c r="B173" s="12"/>
      <c r="C173" s="12"/>
      <c r="D173" s="13"/>
      <c r="E173" s="13"/>
      <c r="F173" s="13"/>
      <c r="G173" s="10" t="str">
        <f aca="false">IF(AND(E173&lt;&gt;"",F173&lt;&gt;""),E173*F173,"")</f>
        <v/>
      </c>
      <c r="H173" s="13"/>
      <c r="I173" s="12"/>
    </row>
    <row r="174" customFormat="false" ht="15" hidden="false" customHeight="false" outlineLevel="0" collapsed="false">
      <c r="A174" s="11"/>
      <c r="B174" s="12"/>
      <c r="C174" s="12"/>
      <c r="D174" s="13"/>
      <c r="E174" s="13"/>
      <c r="F174" s="13"/>
      <c r="G174" s="10" t="str">
        <f aca="false">IF(AND(E174&lt;&gt;"",F174&lt;&gt;""),E174*F174,"")</f>
        <v/>
      </c>
      <c r="H174" s="13"/>
      <c r="I174" s="12"/>
    </row>
    <row r="175" customFormat="false" ht="15" hidden="false" customHeight="false" outlineLevel="0" collapsed="false">
      <c r="A175" s="11"/>
      <c r="B175" s="12"/>
      <c r="C175" s="12"/>
      <c r="D175" s="13"/>
      <c r="E175" s="13"/>
      <c r="F175" s="13"/>
      <c r="G175" s="10" t="str">
        <f aca="false">IF(AND(E175&lt;&gt;"",F175&lt;&gt;""),E175*F175,"")</f>
        <v/>
      </c>
      <c r="H175" s="13"/>
      <c r="I175" s="12"/>
    </row>
    <row r="176" customFormat="false" ht="15" hidden="false" customHeight="false" outlineLevel="0" collapsed="false">
      <c r="A176" s="11"/>
      <c r="B176" s="12"/>
      <c r="C176" s="12"/>
      <c r="D176" s="13"/>
      <c r="E176" s="13"/>
      <c r="F176" s="13"/>
      <c r="G176" s="10" t="str">
        <f aca="false">IF(AND(E176&lt;&gt;"",F176&lt;&gt;""),E176*F176,"")</f>
        <v/>
      </c>
      <c r="H176" s="13"/>
      <c r="I176" s="12"/>
    </row>
    <row r="177" customFormat="false" ht="15" hidden="false" customHeight="false" outlineLevel="0" collapsed="false">
      <c r="A177" s="11"/>
      <c r="B177" s="12"/>
      <c r="C177" s="12"/>
      <c r="D177" s="13"/>
      <c r="E177" s="13"/>
      <c r="F177" s="13"/>
      <c r="G177" s="10" t="str">
        <f aca="false">IF(AND(E177&lt;&gt;"",F177&lt;&gt;""),E177*F177,"")</f>
        <v/>
      </c>
      <c r="H177" s="13"/>
      <c r="I177" s="12"/>
    </row>
    <row r="178" customFormat="false" ht="15" hidden="false" customHeight="false" outlineLevel="0" collapsed="false">
      <c r="A178" s="11"/>
      <c r="B178" s="12"/>
      <c r="C178" s="12"/>
      <c r="D178" s="13"/>
      <c r="E178" s="13"/>
      <c r="F178" s="13"/>
      <c r="G178" s="10" t="str">
        <f aca="false">IF(AND(E178&lt;&gt;"",F178&lt;&gt;""),E178*F178,"")</f>
        <v/>
      </c>
      <c r="H178" s="13"/>
      <c r="I178" s="12"/>
    </row>
    <row r="179" customFormat="false" ht="15" hidden="false" customHeight="false" outlineLevel="0" collapsed="false">
      <c r="A179" s="11"/>
      <c r="B179" s="12"/>
      <c r="C179" s="12"/>
      <c r="D179" s="13"/>
      <c r="E179" s="13"/>
      <c r="F179" s="13"/>
      <c r="G179" s="10" t="str">
        <f aca="false">IF(AND(E179&lt;&gt;"",F179&lt;&gt;""),E179*F179,"")</f>
        <v/>
      </c>
      <c r="H179" s="13"/>
      <c r="I179" s="12"/>
    </row>
    <row r="180" customFormat="false" ht="15" hidden="false" customHeight="false" outlineLevel="0" collapsed="false">
      <c r="A180" s="11"/>
      <c r="B180" s="12"/>
      <c r="C180" s="12"/>
      <c r="D180" s="13"/>
      <c r="E180" s="13"/>
      <c r="F180" s="13"/>
      <c r="G180" s="10" t="str">
        <f aca="false">IF(AND(E180&lt;&gt;"",F180&lt;&gt;""),E180*F180,"")</f>
        <v/>
      </c>
      <c r="H180" s="13"/>
      <c r="I180" s="12"/>
    </row>
    <row r="181" customFormat="false" ht="15" hidden="false" customHeight="false" outlineLevel="0" collapsed="false">
      <c r="A181" s="11"/>
      <c r="B181" s="12"/>
      <c r="C181" s="12"/>
      <c r="D181" s="13"/>
      <c r="E181" s="13"/>
      <c r="F181" s="13"/>
      <c r="G181" s="10" t="str">
        <f aca="false">IF(AND(E181&lt;&gt;"",F181&lt;&gt;""),E181*F181,"")</f>
        <v/>
      </c>
      <c r="H181" s="13"/>
      <c r="I181" s="12"/>
    </row>
    <row r="182" customFormat="false" ht="15" hidden="false" customHeight="false" outlineLevel="0" collapsed="false">
      <c r="A182" s="11"/>
      <c r="B182" s="12"/>
      <c r="C182" s="12"/>
      <c r="D182" s="13"/>
      <c r="E182" s="13"/>
      <c r="F182" s="13"/>
      <c r="G182" s="10" t="str">
        <f aca="false">IF(AND(E182&lt;&gt;"",F182&lt;&gt;""),E182*F182,"")</f>
        <v/>
      </c>
      <c r="H182" s="13"/>
      <c r="I182" s="12"/>
    </row>
    <row r="183" customFormat="false" ht="15" hidden="false" customHeight="false" outlineLevel="0" collapsed="false">
      <c r="A183" s="11"/>
      <c r="B183" s="12"/>
      <c r="C183" s="12"/>
      <c r="D183" s="13"/>
      <c r="E183" s="13"/>
      <c r="F183" s="13"/>
      <c r="G183" s="10" t="str">
        <f aca="false">IF(AND(E183&lt;&gt;"",F183&lt;&gt;""),E183*F183,"")</f>
        <v/>
      </c>
      <c r="H183" s="13"/>
      <c r="I183" s="12"/>
    </row>
    <row r="184" customFormat="false" ht="15" hidden="false" customHeight="false" outlineLevel="0" collapsed="false">
      <c r="A184" s="11"/>
      <c r="B184" s="12"/>
      <c r="C184" s="12"/>
      <c r="D184" s="13"/>
      <c r="E184" s="13"/>
      <c r="F184" s="13"/>
      <c r="G184" s="10" t="str">
        <f aca="false">IF(AND(E184&lt;&gt;"",F184&lt;&gt;""),E184*F184,"")</f>
        <v/>
      </c>
      <c r="H184" s="13"/>
      <c r="I184" s="12"/>
    </row>
    <row r="185" customFormat="false" ht="15" hidden="false" customHeight="false" outlineLevel="0" collapsed="false">
      <c r="A185" s="11"/>
      <c r="B185" s="12"/>
      <c r="C185" s="12"/>
      <c r="D185" s="13"/>
      <c r="E185" s="13"/>
      <c r="F185" s="13"/>
      <c r="G185" s="10" t="str">
        <f aca="false">IF(AND(E185&lt;&gt;"",F185&lt;&gt;""),E185*F185,"")</f>
        <v/>
      </c>
      <c r="H185" s="13"/>
      <c r="I185" s="12"/>
    </row>
    <row r="186" customFormat="false" ht="15" hidden="false" customHeight="false" outlineLevel="0" collapsed="false">
      <c r="A186" s="11"/>
      <c r="B186" s="12"/>
      <c r="C186" s="12"/>
      <c r="D186" s="13"/>
      <c r="E186" s="13"/>
      <c r="F186" s="13"/>
      <c r="G186" s="10" t="str">
        <f aca="false">IF(AND(E186&lt;&gt;"",F186&lt;&gt;""),E186*F186,"")</f>
        <v/>
      </c>
      <c r="H186" s="13"/>
      <c r="I186" s="12"/>
    </row>
    <row r="187" customFormat="false" ht="15" hidden="false" customHeight="false" outlineLevel="0" collapsed="false">
      <c r="A187" s="11"/>
      <c r="B187" s="12"/>
      <c r="C187" s="12"/>
      <c r="D187" s="13"/>
      <c r="E187" s="13"/>
      <c r="F187" s="13"/>
      <c r="G187" s="10" t="str">
        <f aca="false">IF(AND(E187&lt;&gt;"",F187&lt;&gt;""),E187*F187,"")</f>
        <v/>
      </c>
      <c r="H187" s="13"/>
      <c r="I187" s="12"/>
    </row>
    <row r="188" customFormat="false" ht="15" hidden="false" customHeight="false" outlineLevel="0" collapsed="false">
      <c r="A188" s="11"/>
      <c r="B188" s="12"/>
      <c r="C188" s="12"/>
      <c r="D188" s="13"/>
      <c r="E188" s="13"/>
      <c r="F188" s="13"/>
      <c r="G188" s="10" t="str">
        <f aca="false">IF(AND(E188&lt;&gt;"",F188&lt;&gt;""),E188*F188,"")</f>
        <v/>
      </c>
      <c r="H188" s="13"/>
      <c r="I188" s="12"/>
    </row>
    <row r="189" customFormat="false" ht="15" hidden="false" customHeight="false" outlineLevel="0" collapsed="false">
      <c r="A189" s="11"/>
      <c r="B189" s="12"/>
      <c r="C189" s="12"/>
      <c r="D189" s="13"/>
      <c r="E189" s="13"/>
      <c r="F189" s="13"/>
      <c r="G189" s="10" t="str">
        <f aca="false">IF(AND(E189&lt;&gt;"",F189&lt;&gt;""),E189*F189,"")</f>
        <v/>
      </c>
      <c r="H189" s="13"/>
      <c r="I189" s="12"/>
    </row>
    <row r="190" customFormat="false" ht="15" hidden="false" customHeight="false" outlineLevel="0" collapsed="false">
      <c r="A190" s="11"/>
      <c r="B190" s="12"/>
      <c r="C190" s="12"/>
      <c r="D190" s="13"/>
      <c r="E190" s="13"/>
      <c r="F190" s="13"/>
      <c r="G190" s="10" t="str">
        <f aca="false">IF(AND(E190&lt;&gt;"",F190&lt;&gt;""),E190*F190,"")</f>
        <v/>
      </c>
      <c r="H190" s="13"/>
      <c r="I190" s="12"/>
    </row>
    <row r="191" customFormat="false" ht="15" hidden="false" customHeight="false" outlineLevel="0" collapsed="false">
      <c r="A191" s="11"/>
      <c r="B191" s="12"/>
      <c r="C191" s="12"/>
      <c r="D191" s="13"/>
      <c r="E191" s="13"/>
      <c r="F191" s="13"/>
      <c r="G191" s="10" t="str">
        <f aca="false">IF(AND(E191&lt;&gt;"",F191&lt;&gt;""),E191*F191,"")</f>
        <v/>
      </c>
      <c r="H191" s="13"/>
      <c r="I191" s="12"/>
    </row>
    <row r="192" customFormat="false" ht="15" hidden="false" customHeight="false" outlineLevel="0" collapsed="false">
      <c r="A192" s="11"/>
      <c r="B192" s="12"/>
      <c r="C192" s="12"/>
      <c r="D192" s="13"/>
      <c r="E192" s="13"/>
      <c r="F192" s="13"/>
      <c r="G192" s="10" t="str">
        <f aca="false">IF(AND(E192&lt;&gt;"",F192&lt;&gt;""),E192*F192,"")</f>
        <v/>
      </c>
      <c r="H192" s="13"/>
      <c r="I192" s="12"/>
    </row>
    <row r="193" customFormat="false" ht="15" hidden="false" customHeight="false" outlineLevel="0" collapsed="false">
      <c r="A193" s="11"/>
      <c r="B193" s="12"/>
      <c r="C193" s="12"/>
      <c r="D193" s="13"/>
      <c r="E193" s="13"/>
      <c r="F193" s="13"/>
      <c r="G193" s="10" t="str">
        <f aca="false">IF(AND(E193&lt;&gt;"",F193&lt;&gt;""),E193*F193,"")</f>
        <v/>
      </c>
      <c r="H193" s="13"/>
      <c r="I193" s="12"/>
    </row>
    <row r="194" customFormat="false" ht="15" hidden="false" customHeight="false" outlineLevel="0" collapsed="false">
      <c r="A194" s="11"/>
      <c r="B194" s="12"/>
      <c r="C194" s="12"/>
      <c r="D194" s="13"/>
      <c r="E194" s="13"/>
      <c r="F194" s="13"/>
      <c r="G194" s="10" t="str">
        <f aca="false">IF(AND(E194&lt;&gt;"",F194&lt;&gt;""),E194*F194,"")</f>
        <v/>
      </c>
      <c r="H194" s="13"/>
      <c r="I194" s="12"/>
    </row>
    <row r="195" customFormat="false" ht="15" hidden="false" customHeight="false" outlineLevel="0" collapsed="false">
      <c r="A195" s="11"/>
      <c r="B195" s="12"/>
      <c r="C195" s="12"/>
      <c r="D195" s="13"/>
      <c r="E195" s="13"/>
      <c r="F195" s="13"/>
      <c r="G195" s="10" t="str">
        <f aca="false">IF(AND(E195&lt;&gt;"",F195&lt;&gt;""),E195*F195,"")</f>
        <v/>
      </c>
      <c r="H195" s="13"/>
      <c r="I195" s="12"/>
    </row>
    <row r="196" customFormat="false" ht="15" hidden="false" customHeight="false" outlineLevel="0" collapsed="false">
      <c r="A196" s="11"/>
      <c r="B196" s="12"/>
      <c r="C196" s="12"/>
      <c r="D196" s="13"/>
      <c r="E196" s="13"/>
      <c r="F196" s="13"/>
      <c r="G196" s="10" t="str">
        <f aca="false">IF(AND(E196&lt;&gt;"",F196&lt;&gt;""),E196*F196,"")</f>
        <v/>
      </c>
      <c r="H196" s="13"/>
      <c r="I196" s="12"/>
    </row>
    <row r="197" customFormat="false" ht="15" hidden="false" customHeight="false" outlineLevel="0" collapsed="false">
      <c r="A197" s="11"/>
      <c r="B197" s="12"/>
      <c r="C197" s="12"/>
      <c r="D197" s="13"/>
      <c r="E197" s="13"/>
      <c r="F197" s="13"/>
      <c r="G197" s="10" t="str">
        <f aca="false">IF(AND(E197&lt;&gt;"",F197&lt;&gt;""),E197*F197,"")</f>
        <v/>
      </c>
      <c r="H197" s="13"/>
      <c r="I197" s="12"/>
    </row>
    <row r="198" customFormat="false" ht="15" hidden="false" customHeight="false" outlineLevel="0" collapsed="false">
      <c r="A198" s="11"/>
      <c r="B198" s="12"/>
      <c r="C198" s="12"/>
      <c r="D198" s="13"/>
      <c r="E198" s="13"/>
      <c r="F198" s="13"/>
      <c r="G198" s="10" t="str">
        <f aca="false">IF(AND(E198&lt;&gt;"",F198&lt;&gt;""),E198*F198,"")</f>
        <v/>
      </c>
      <c r="H198" s="13"/>
      <c r="I198" s="12"/>
    </row>
    <row r="199" customFormat="false" ht="15" hidden="false" customHeight="false" outlineLevel="0" collapsed="false">
      <c r="A199" s="11"/>
      <c r="B199" s="12"/>
      <c r="C199" s="12"/>
      <c r="D199" s="13"/>
      <c r="E199" s="13"/>
      <c r="F199" s="13"/>
      <c r="G199" s="10" t="str">
        <f aca="false">IF(AND(E199&lt;&gt;"",F199&lt;&gt;""),E199*F199,"")</f>
        <v/>
      </c>
      <c r="H199" s="13"/>
      <c r="I199" s="12"/>
    </row>
    <row r="200" customFormat="false" ht="15" hidden="false" customHeight="false" outlineLevel="0" collapsed="false">
      <c r="A200" s="11"/>
      <c r="B200" s="12"/>
      <c r="C200" s="12"/>
      <c r="D200" s="13"/>
      <c r="E200" s="13"/>
      <c r="F200" s="13"/>
      <c r="G200" s="10" t="str">
        <f aca="false">IF(AND(E200&lt;&gt;"",F200&lt;&gt;""),E200*F200,"")</f>
        <v/>
      </c>
      <c r="H200" s="13"/>
      <c r="I200" s="12"/>
    </row>
    <row r="201" customFormat="false" ht="15" hidden="false" customHeight="false" outlineLevel="0" collapsed="false">
      <c r="A201" s="11"/>
      <c r="B201" s="12"/>
      <c r="C201" s="12"/>
      <c r="D201" s="13"/>
      <c r="E201" s="13"/>
      <c r="F201" s="13"/>
      <c r="G201" s="10" t="str">
        <f aca="false">IF(AND(E201&lt;&gt;"",F201&lt;&gt;""),E201*F201,"")</f>
        <v/>
      </c>
      <c r="H201" s="13"/>
      <c r="I201" s="12"/>
    </row>
    <row r="202" customFormat="false" ht="15" hidden="false" customHeight="false" outlineLevel="0" collapsed="false">
      <c r="A202" s="11"/>
      <c r="B202" s="12"/>
      <c r="C202" s="12"/>
      <c r="D202" s="13"/>
      <c r="E202" s="13"/>
      <c r="F202" s="13"/>
      <c r="G202" s="10" t="str">
        <f aca="false">IF(AND(E202&lt;&gt;"",F202&lt;&gt;""),E202*F202,"")</f>
        <v/>
      </c>
      <c r="H202" s="13"/>
      <c r="I202" s="12"/>
    </row>
    <row r="203" customFormat="false" ht="15" hidden="false" customHeight="false" outlineLevel="0" collapsed="false">
      <c r="A203" s="11"/>
      <c r="B203" s="12"/>
      <c r="C203" s="12"/>
      <c r="D203" s="13"/>
      <c r="E203" s="13"/>
      <c r="F203" s="13"/>
      <c r="G203" s="10" t="str">
        <f aca="false">IF(AND(E203&lt;&gt;"",F203&lt;&gt;""),E203*F203,"")</f>
        <v/>
      </c>
      <c r="H203" s="13"/>
      <c r="I203" s="12"/>
    </row>
    <row r="204" customFormat="false" ht="15" hidden="false" customHeight="false" outlineLevel="0" collapsed="false">
      <c r="A204" s="11"/>
      <c r="B204" s="12"/>
      <c r="C204" s="12"/>
      <c r="D204" s="13"/>
      <c r="E204" s="13"/>
      <c r="F204" s="13"/>
      <c r="G204" s="10" t="str">
        <f aca="false">IF(AND(E204&lt;&gt;"",F204&lt;&gt;""),E204*F204,"")</f>
        <v/>
      </c>
      <c r="H204" s="13"/>
      <c r="I204" s="12"/>
    </row>
    <row r="205" customFormat="false" ht="15" hidden="false" customHeight="false" outlineLevel="0" collapsed="false">
      <c r="A205" s="11"/>
      <c r="B205" s="12"/>
      <c r="C205" s="12"/>
      <c r="D205" s="13"/>
      <c r="E205" s="13"/>
      <c r="F205" s="13"/>
      <c r="G205" s="10" t="str">
        <f aca="false">IF(AND(E205&lt;&gt;"",F205&lt;&gt;""),E205*F205,"")</f>
        <v/>
      </c>
      <c r="H205" s="13"/>
      <c r="I205" s="12"/>
    </row>
    <row r="206" customFormat="false" ht="15" hidden="false" customHeight="false" outlineLevel="0" collapsed="false">
      <c r="A206" s="11"/>
      <c r="B206" s="12"/>
      <c r="C206" s="12"/>
      <c r="D206" s="13"/>
      <c r="E206" s="13"/>
      <c r="F206" s="13"/>
      <c r="G206" s="10" t="str">
        <f aca="false">IF(AND(E206&lt;&gt;"",F206&lt;&gt;""),E206*F206,"")</f>
        <v/>
      </c>
      <c r="H206" s="13"/>
      <c r="I206" s="12"/>
    </row>
    <row r="207" customFormat="false" ht="15" hidden="false" customHeight="false" outlineLevel="0" collapsed="false">
      <c r="A207" s="11"/>
      <c r="B207" s="12"/>
      <c r="C207" s="12"/>
      <c r="D207" s="13"/>
      <c r="E207" s="13"/>
      <c r="F207" s="13"/>
      <c r="G207" s="10" t="str">
        <f aca="false">IF(AND(E207&lt;&gt;"",F207&lt;&gt;""),E207*F207,"")</f>
        <v/>
      </c>
      <c r="H207" s="13"/>
      <c r="I207" s="12"/>
    </row>
    <row r="208" customFormat="false" ht="15" hidden="false" customHeight="false" outlineLevel="0" collapsed="false">
      <c r="A208" s="11"/>
      <c r="B208" s="12"/>
      <c r="C208" s="12"/>
      <c r="D208" s="13"/>
      <c r="E208" s="13"/>
      <c r="F208" s="13"/>
      <c r="G208" s="10" t="str">
        <f aca="false">IF(AND(E208&lt;&gt;"",F208&lt;&gt;""),E208*F208,"")</f>
        <v/>
      </c>
      <c r="H208" s="13"/>
      <c r="I208" s="12"/>
    </row>
    <row r="209" customFormat="false" ht="15" hidden="false" customHeight="false" outlineLevel="0" collapsed="false">
      <c r="A209" s="11"/>
      <c r="B209" s="12"/>
      <c r="C209" s="12"/>
      <c r="D209" s="13"/>
      <c r="E209" s="13"/>
      <c r="F209" s="13"/>
      <c r="G209" s="10" t="str">
        <f aca="false">IF(AND(E209&lt;&gt;"",F209&lt;&gt;""),E209*F209,"")</f>
        <v/>
      </c>
      <c r="H209" s="13"/>
      <c r="I209" s="12"/>
    </row>
    <row r="210" customFormat="false" ht="15" hidden="false" customHeight="false" outlineLevel="0" collapsed="false">
      <c r="A210" s="11"/>
      <c r="B210" s="12"/>
      <c r="C210" s="12"/>
      <c r="D210" s="13"/>
      <c r="E210" s="13"/>
      <c r="F210" s="13"/>
      <c r="G210" s="10" t="str">
        <f aca="false">IF(AND(E210&lt;&gt;"",F210&lt;&gt;""),E210*F210,"")</f>
        <v/>
      </c>
      <c r="H210" s="13"/>
      <c r="I210" s="12"/>
    </row>
    <row r="211" customFormat="false" ht="15" hidden="false" customHeight="false" outlineLevel="0" collapsed="false">
      <c r="A211" s="11"/>
      <c r="B211" s="12"/>
      <c r="C211" s="12"/>
      <c r="D211" s="13"/>
      <c r="E211" s="13"/>
      <c r="F211" s="13"/>
      <c r="G211" s="10" t="str">
        <f aca="false">IF(AND(E211&lt;&gt;"",F211&lt;&gt;""),E211*F211,"")</f>
        <v/>
      </c>
      <c r="H211" s="13"/>
      <c r="I211" s="12"/>
    </row>
    <row r="212" customFormat="false" ht="15" hidden="false" customHeight="false" outlineLevel="0" collapsed="false">
      <c r="A212" s="11"/>
      <c r="B212" s="12"/>
      <c r="C212" s="12"/>
      <c r="D212" s="13"/>
      <c r="E212" s="13"/>
      <c r="F212" s="13"/>
      <c r="G212" s="10" t="str">
        <f aca="false">IF(AND(E212&lt;&gt;"",F212&lt;&gt;""),E212*F212,"")</f>
        <v/>
      </c>
      <c r="H212" s="13"/>
      <c r="I212" s="12"/>
    </row>
    <row r="213" customFormat="false" ht="15" hidden="false" customHeight="false" outlineLevel="0" collapsed="false">
      <c r="A213" s="11"/>
      <c r="B213" s="12"/>
      <c r="C213" s="12"/>
      <c r="D213" s="13"/>
      <c r="E213" s="13"/>
      <c r="F213" s="13"/>
      <c r="G213" s="10" t="str">
        <f aca="false">IF(AND(E213&lt;&gt;"",F213&lt;&gt;""),E213*F213,"")</f>
        <v/>
      </c>
      <c r="H213" s="13"/>
      <c r="I213" s="12"/>
    </row>
    <row r="214" customFormat="false" ht="15" hidden="false" customHeight="false" outlineLevel="0" collapsed="false">
      <c r="A214" s="11"/>
      <c r="B214" s="12"/>
      <c r="C214" s="12"/>
      <c r="D214" s="13"/>
      <c r="E214" s="13"/>
      <c r="F214" s="13"/>
      <c r="G214" s="10" t="str">
        <f aca="false">IF(AND(E214&lt;&gt;"",F214&lt;&gt;""),E214*F214,"")</f>
        <v/>
      </c>
      <c r="H214" s="13"/>
      <c r="I214" s="12"/>
    </row>
    <row r="215" customFormat="false" ht="15" hidden="false" customHeight="false" outlineLevel="0" collapsed="false">
      <c r="A215" s="11"/>
      <c r="B215" s="12"/>
      <c r="C215" s="12"/>
      <c r="D215" s="13"/>
      <c r="E215" s="13"/>
      <c r="F215" s="13"/>
      <c r="G215" s="10" t="str">
        <f aca="false">IF(AND(E215&lt;&gt;"",F215&lt;&gt;""),E215*F215,"")</f>
        <v/>
      </c>
      <c r="H215" s="13"/>
      <c r="I215" s="12"/>
    </row>
    <row r="216" customFormat="false" ht="15" hidden="false" customHeight="false" outlineLevel="0" collapsed="false">
      <c r="A216" s="11"/>
      <c r="B216" s="12"/>
      <c r="C216" s="12"/>
      <c r="D216" s="13"/>
      <c r="E216" s="13"/>
      <c r="F216" s="13"/>
      <c r="G216" s="10" t="str">
        <f aca="false">IF(AND(E216&lt;&gt;"",F216&lt;&gt;""),E216*F216,"")</f>
        <v/>
      </c>
      <c r="H216" s="13"/>
      <c r="I216" s="12"/>
    </row>
    <row r="217" customFormat="false" ht="15" hidden="false" customHeight="false" outlineLevel="0" collapsed="false">
      <c r="A217" s="11"/>
      <c r="B217" s="12"/>
      <c r="C217" s="12"/>
      <c r="D217" s="13"/>
      <c r="E217" s="13"/>
      <c r="F217" s="13"/>
      <c r="G217" s="10" t="str">
        <f aca="false">IF(AND(E217&lt;&gt;"",F217&lt;&gt;""),E217*F217,"")</f>
        <v/>
      </c>
      <c r="H217" s="13"/>
      <c r="I217" s="12"/>
    </row>
    <row r="218" customFormat="false" ht="15" hidden="false" customHeight="false" outlineLevel="0" collapsed="false">
      <c r="A218" s="11"/>
      <c r="B218" s="12"/>
      <c r="C218" s="12"/>
      <c r="D218" s="13"/>
      <c r="E218" s="13"/>
      <c r="F218" s="13"/>
      <c r="G218" s="10" t="str">
        <f aca="false">IF(AND(E218&lt;&gt;"",F218&lt;&gt;""),E218*F218,"")</f>
        <v/>
      </c>
      <c r="H218" s="13"/>
      <c r="I218" s="12"/>
    </row>
    <row r="219" customFormat="false" ht="15" hidden="false" customHeight="false" outlineLevel="0" collapsed="false">
      <c r="A219" s="11"/>
      <c r="B219" s="12"/>
      <c r="C219" s="12"/>
      <c r="D219" s="13"/>
      <c r="E219" s="13"/>
      <c r="F219" s="13"/>
      <c r="G219" s="10" t="str">
        <f aca="false">IF(AND(E219&lt;&gt;"",F219&lt;&gt;""),E219*F219,"")</f>
        <v/>
      </c>
      <c r="H219" s="13"/>
      <c r="I219" s="12"/>
    </row>
    <row r="220" customFormat="false" ht="15" hidden="false" customHeight="false" outlineLevel="0" collapsed="false">
      <c r="A220" s="11"/>
      <c r="B220" s="12"/>
      <c r="C220" s="12"/>
      <c r="D220" s="13"/>
      <c r="E220" s="13"/>
      <c r="F220" s="13"/>
      <c r="G220" s="10" t="str">
        <f aca="false">IF(AND(E220&lt;&gt;"",F220&lt;&gt;""),E220*F220,"")</f>
        <v/>
      </c>
      <c r="H220" s="13"/>
      <c r="I220" s="12"/>
    </row>
    <row r="221" customFormat="false" ht="15" hidden="false" customHeight="false" outlineLevel="0" collapsed="false">
      <c r="A221" s="11"/>
      <c r="B221" s="12"/>
      <c r="C221" s="12"/>
      <c r="D221" s="13"/>
      <c r="E221" s="13"/>
      <c r="F221" s="13"/>
      <c r="G221" s="10" t="str">
        <f aca="false">IF(AND(E221&lt;&gt;"",F221&lt;&gt;""),E221*F221,"")</f>
        <v/>
      </c>
      <c r="H221" s="13"/>
      <c r="I221" s="12"/>
    </row>
    <row r="222" customFormat="false" ht="15" hidden="false" customHeight="false" outlineLevel="0" collapsed="false">
      <c r="A222" s="11"/>
      <c r="B222" s="12"/>
      <c r="C222" s="12"/>
      <c r="D222" s="13"/>
      <c r="E222" s="13"/>
      <c r="F222" s="13"/>
      <c r="G222" s="10" t="str">
        <f aca="false">IF(AND(E222&lt;&gt;"",F222&lt;&gt;""),E222*F222,"")</f>
        <v/>
      </c>
      <c r="H222" s="13"/>
      <c r="I222" s="12"/>
    </row>
    <row r="223" customFormat="false" ht="15" hidden="false" customHeight="false" outlineLevel="0" collapsed="false">
      <c r="A223" s="11"/>
      <c r="B223" s="12"/>
      <c r="C223" s="12"/>
      <c r="D223" s="13"/>
      <c r="E223" s="13"/>
      <c r="F223" s="13"/>
      <c r="G223" s="10" t="str">
        <f aca="false">IF(AND(E223&lt;&gt;"",F223&lt;&gt;""),E223*F223,"")</f>
        <v/>
      </c>
      <c r="H223" s="13"/>
      <c r="I223" s="12"/>
    </row>
    <row r="224" customFormat="false" ht="15" hidden="false" customHeight="false" outlineLevel="0" collapsed="false">
      <c r="A224" s="11"/>
      <c r="B224" s="12"/>
      <c r="C224" s="12"/>
      <c r="D224" s="13"/>
      <c r="E224" s="13"/>
      <c r="F224" s="13"/>
      <c r="G224" s="10" t="str">
        <f aca="false">IF(AND(E224&lt;&gt;"",F224&lt;&gt;""),E224*F224,"")</f>
        <v/>
      </c>
      <c r="H224" s="13"/>
      <c r="I224" s="12"/>
    </row>
    <row r="225" customFormat="false" ht="15" hidden="false" customHeight="false" outlineLevel="0" collapsed="false">
      <c r="A225" s="11"/>
      <c r="B225" s="12"/>
      <c r="C225" s="12"/>
      <c r="D225" s="13"/>
      <c r="E225" s="13"/>
      <c r="F225" s="13"/>
      <c r="G225" s="10" t="str">
        <f aca="false">IF(AND(E225&lt;&gt;"",F225&lt;&gt;""),E225*F225,"")</f>
        <v/>
      </c>
      <c r="H225" s="13"/>
      <c r="I225" s="12"/>
    </row>
    <row r="226" customFormat="false" ht="15" hidden="false" customHeight="false" outlineLevel="0" collapsed="false">
      <c r="A226" s="11"/>
      <c r="B226" s="12"/>
      <c r="C226" s="12"/>
      <c r="D226" s="13"/>
      <c r="E226" s="13"/>
      <c r="F226" s="13"/>
      <c r="G226" s="10" t="str">
        <f aca="false">IF(AND(E226&lt;&gt;"",F226&lt;&gt;""),E226*F226,"")</f>
        <v/>
      </c>
      <c r="H226" s="13"/>
      <c r="I226" s="12"/>
    </row>
    <row r="227" customFormat="false" ht="15" hidden="false" customHeight="false" outlineLevel="0" collapsed="false">
      <c r="A227" s="11"/>
      <c r="B227" s="12"/>
      <c r="C227" s="12"/>
      <c r="D227" s="13"/>
      <c r="E227" s="13"/>
      <c r="F227" s="13"/>
      <c r="G227" s="10" t="str">
        <f aca="false">IF(AND(E227&lt;&gt;"",F227&lt;&gt;""),E227*F227,"")</f>
        <v/>
      </c>
      <c r="H227" s="13"/>
      <c r="I227" s="12"/>
    </row>
    <row r="228" customFormat="false" ht="15" hidden="false" customHeight="false" outlineLevel="0" collapsed="false">
      <c r="A228" s="11"/>
      <c r="B228" s="12"/>
      <c r="C228" s="12"/>
      <c r="D228" s="13"/>
      <c r="E228" s="13"/>
      <c r="F228" s="13"/>
      <c r="G228" s="10" t="str">
        <f aca="false">IF(AND(E228&lt;&gt;"",F228&lt;&gt;""),E228*F228,"")</f>
        <v/>
      </c>
      <c r="H228" s="13"/>
      <c r="I228" s="12"/>
    </row>
    <row r="229" customFormat="false" ht="15" hidden="false" customHeight="false" outlineLevel="0" collapsed="false">
      <c r="A229" s="11"/>
      <c r="B229" s="12"/>
      <c r="C229" s="12"/>
      <c r="D229" s="13"/>
      <c r="E229" s="13"/>
      <c r="F229" s="13"/>
      <c r="G229" s="10" t="str">
        <f aca="false">IF(AND(E229&lt;&gt;"",F229&lt;&gt;""),E229*F229,"")</f>
        <v/>
      </c>
      <c r="H229" s="13"/>
      <c r="I229" s="12"/>
    </row>
    <row r="230" customFormat="false" ht="15" hidden="false" customHeight="false" outlineLevel="0" collapsed="false">
      <c r="A230" s="11"/>
      <c r="B230" s="12"/>
      <c r="C230" s="12"/>
      <c r="D230" s="13"/>
      <c r="E230" s="13"/>
      <c r="F230" s="13"/>
      <c r="G230" s="10" t="str">
        <f aca="false">IF(AND(E230&lt;&gt;"",F230&lt;&gt;""),E230*F230,"")</f>
        <v/>
      </c>
      <c r="H230" s="13"/>
      <c r="I230" s="12"/>
    </row>
    <row r="231" customFormat="false" ht="15" hidden="false" customHeight="false" outlineLevel="0" collapsed="false">
      <c r="A231" s="11"/>
      <c r="B231" s="12"/>
      <c r="C231" s="12"/>
      <c r="D231" s="13"/>
      <c r="E231" s="13"/>
      <c r="F231" s="13"/>
      <c r="G231" s="10" t="str">
        <f aca="false">IF(AND(E231&lt;&gt;"",F231&lt;&gt;""),E231*F231,"")</f>
        <v/>
      </c>
      <c r="H231" s="13"/>
      <c r="I231" s="12"/>
    </row>
    <row r="232" customFormat="false" ht="15" hidden="false" customHeight="false" outlineLevel="0" collapsed="false">
      <c r="A232" s="11"/>
      <c r="B232" s="12"/>
      <c r="C232" s="12"/>
      <c r="D232" s="13"/>
      <c r="E232" s="13"/>
      <c r="F232" s="13"/>
      <c r="G232" s="10" t="str">
        <f aca="false">IF(AND(E232&lt;&gt;"",F232&lt;&gt;""),E232*F232,"")</f>
        <v/>
      </c>
      <c r="H232" s="13"/>
      <c r="I232" s="12"/>
    </row>
    <row r="233" customFormat="false" ht="15" hidden="false" customHeight="false" outlineLevel="0" collapsed="false">
      <c r="A233" s="11"/>
      <c r="B233" s="12"/>
      <c r="C233" s="12"/>
      <c r="D233" s="13"/>
      <c r="E233" s="13"/>
      <c r="F233" s="13"/>
      <c r="G233" s="10" t="str">
        <f aca="false">IF(AND(E233&lt;&gt;"",F233&lt;&gt;""),E233*F233,"")</f>
        <v/>
      </c>
      <c r="H233" s="13"/>
      <c r="I233" s="12"/>
    </row>
    <row r="234" customFormat="false" ht="15" hidden="false" customHeight="false" outlineLevel="0" collapsed="false">
      <c r="A234" s="11"/>
      <c r="B234" s="12"/>
      <c r="C234" s="12"/>
      <c r="D234" s="13"/>
      <c r="E234" s="13"/>
      <c r="F234" s="13"/>
      <c r="G234" s="10" t="str">
        <f aca="false">IF(AND(E234&lt;&gt;"",F234&lt;&gt;""),E234*F234,"")</f>
        <v/>
      </c>
      <c r="H234" s="13"/>
      <c r="I234" s="12"/>
    </row>
    <row r="235" customFormat="false" ht="15" hidden="false" customHeight="false" outlineLevel="0" collapsed="false">
      <c r="A235" s="11"/>
      <c r="B235" s="12"/>
      <c r="C235" s="12"/>
      <c r="D235" s="13"/>
      <c r="E235" s="13"/>
      <c r="F235" s="13"/>
      <c r="G235" s="10" t="str">
        <f aca="false">IF(AND(E235&lt;&gt;"",F235&lt;&gt;""),E235*F235,"")</f>
        <v/>
      </c>
      <c r="H235" s="13"/>
      <c r="I235" s="12"/>
    </row>
    <row r="236" customFormat="false" ht="15" hidden="false" customHeight="false" outlineLevel="0" collapsed="false">
      <c r="A236" s="11"/>
      <c r="B236" s="12"/>
      <c r="C236" s="12"/>
      <c r="D236" s="13"/>
      <c r="E236" s="13"/>
      <c r="F236" s="13"/>
      <c r="G236" s="10" t="str">
        <f aca="false">IF(AND(E236&lt;&gt;"",F236&lt;&gt;""),E236*F236,"")</f>
        <v/>
      </c>
      <c r="H236" s="13"/>
      <c r="I236" s="12"/>
    </row>
    <row r="237" customFormat="false" ht="15" hidden="false" customHeight="false" outlineLevel="0" collapsed="false">
      <c r="A237" s="11"/>
      <c r="B237" s="12"/>
      <c r="C237" s="12"/>
      <c r="D237" s="13"/>
      <c r="E237" s="13"/>
      <c r="F237" s="13"/>
      <c r="G237" s="10" t="str">
        <f aca="false">IF(AND(E237&lt;&gt;"",F237&lt;&gt;""),E237*F237,"")</f>
        <v/>
      </c>
      <c r="H237" s="13"/>
      <c r="I237" s="12"/>
    </row>
    <row r="238" customFormat="false" ht="15" hidden="false" customHeight="false" outlineLevel="0" collapsed="false">
      <c r="A238" s="11"/>
      <c r="B238" s="12"/>
      <c r="C238" s="12"/>
      <c r="D238" s="13"/>
      <c r="E238" s="13"/>
      <c r="F238" s="13"/>
      <c r="G238" s="10" t="str">
        <f aca="false">IF(AND(E238&lt;&gt;"",F238&lt;&gt;""),E238*F238,"")</f>
        <v/>
      </c>
      <c r="H238" s="13"/>
      <c r="I238" s="12"/>
    </row>
    <row r="239" customFormat="false" ht="15" hidden="false" customHeight="false" outlineLevel="0" collapsed="false">
      <c r="A239" s="11"/>
      <c r="B239" s="12"/>
      <c r="C239" s="12"/>
      <c r="D239" s="13"/>
      <c r="E239" s="13"/>
      <c r="F239" s="13"/>
      <c r="G239" s="10" t="str">
        <f aca="false">IF(AND(E239&lt;&gt;"",F239&lt;&gt;""),E239*F239,"")</f>
        <v/>
      </c>
      <c r="H239" s="13"/>
      <c r="I239" s="12"/>
    </row>
    <row r="240" customFormat="false" ht="15" hidden="false" customHeight="false" outlineLevel="0" collapsed="false">
      <c r="A240" s="11"/>
      <c r="B240" s="12"/>
      <c r="C240" s="12"/>
      <c r="D240" s="13"/>
      <c r="E240" s="13"/>
      <c r="F240" s="13"/>
      <c r="G240" s="10" t="str">
        <f aca="false">IF(AND(E240&lt;&gt;"",F240&lt;&gt;""),E240*F240,"")</f>
        <v/>
      </c>
      <c r="H240" s="13"/>
      <c r="I240" s="12"/>
    </row>
    <row r="241" customFormat="false" ht="15" hidden="false" customHeight="false" outlineLevel="0" collapsed="false">
      <c r="A241" s="11"/>
      <c r="B241" s="12"/>
      <c r="C241" s="12"/>
      <c r="D241" s="13"/>
      <c r="E241" s="13"/>
      <c r="F241" s="13"/>
      <c r="G241" s="10" t="str">
        <f aca="false">IF(AND(E241&lt;&gt;"",F241&lt;&gt;""),E241*F241,"")</f>
        <v/>
      </c>
      <c r="H241" s="13"/>
      <c r="I241" s="12"/>
    </row>
    <row r="242" customFormat="false" ht="15" hidden="false" customHeight="false" outlineLevel="0" collapsed="false">
      <c r="A242" s="11"/>
      <c r="B242" s="12"/>
      <c r="C242" s="12"/>
      <c r="D242" s="13"/>
      <c r="E242" s="13"/>
      <c r="F242" s="13"/>
      <c r="G242" s="10" t="str">
        <f aca="false">IF(AND(E242&lt;&gt;"",F242&lt;&gt;""),E242*F242,"")</f>
        <v/>
      </c>
      <c r="H242" s="13"/>
      <c r="I242" s="12"/>
    </row>
    <row r="243" customFormat="false" ht="15" hidden="false" customHeight="false" outlineLevel="0" collapsed="false">
      <c r="A243" s="11"/>
      <c r="B243" s="12"/>
      <c r="C243" s="12"/>
      <c r="D243" s="13"/>
      <c r="E243" s="13"/>
      <c r="F243" s="13"/>
      <c r="G243" s="10" t="str">
        <f aca="false">IF(AND(E243&lt;&gt;"",F243&lt;&gt;""),E243*F243,"")</f>
        <v/>
      </c>
      <c r="H243" s="13"/>
      <c r="I243" s="12"/>
    </row>
    <row r="244" customFormat="false" ht="15" hidden="false" customHeight="false" outlineLevel="0" collapsed="false">
      <c r="A244" s="11"/>
      <c r="B244" s="12"/>
      <c r="C244" s="12"/>
      <c r="D244" s="13"/>
      <c r="E244" s="13"/>
      <c r="F244" s="13"/>
      <c r="G244" s="10" t="str">
        <f aca="false">IF(AND(E244&lt;&gt;"",F244&lt;&gt;""),E244*F244,"")</f>
        <v/>
      </c>
      <c r="H244" s="13"/>
      <c r="I244" s="12"/>
    </row>
    <row r="245" customFormat="false" ht="15" hidden="false" customHeight="false" outlineLevel="0" collapsed="false">
      <c r="A245" s="11"/>
      <c r="B245" s="12"/>
      <c r="C245" s="12"/>
      <c r="D245" s="13"/>
      <c r="E245" s="13"/>
      <c r="F245" s="13"/>
      <c r="G245" s="10" t="str">
        <f aca="false">IF(AND(E245&lt;&gt;"",F245&lt;&gt;""),E245*F245,"")</f>
        <v/>
      </c>
      <c r="H245" s="13"/>
      <c r="I245" s="12"/>
    </row>
    <row r="246" customFormat="false" ht="15" hidden="false" customHeight="false" outlineLevel="0" collapsed="false">
      <c r="A246" s="11"/>
      <c r="B246" s="12"/>
      <c r="C246" s="12"/>
      <c r="D246" s="13"/>
      <c r="E246" s="13"/>
      <c r="F246" s="13"/>
      <c r="G246" s="10" t="str">
        <f aca="false">IF(AND(E246&lt;&gt;"",F246&lt;&gt;""),E246*F246,"")</f>
        <v/>
      </c>
      <c r="H246" s="13"/>
      <c r="I246" s="12"/>
    </row>
    <row r="247" customFormat="false" ht="15" hidden="false" customHeight="false" outlineLevel="0" collapsed="false">
      <c r="A247" s="11"/>
      <c r="B247" s="12"/>
      <c r="C247" s="12"/>
      <c r="D247" s="13"/>
      <c r="E247" s="13"/>
      <c r="F247" s="13"/>
      <c r="G247" s="10" t="str">
        <f aca="false">IF(AND(E247&lt;&gt;"",F247&lt;&gt;""),E247*F247,"")</f>
        <v/>
      </c>
      <c r="H247" s="13"/>
      <c r="I247" s="12"/>
    </row>
    <row r="248" customFormat="false" ht="15" hidden="false" customHeight="false" outlineLevel="0" collapsed="false">
      <c r="A248" s="11"/>
      <c r="B248" s="12"/>
      <c r="C248" s="12"/>
      <c r="D248" s="13"/>
      <c r="E248" s="13"/>
      <c r="F248" s="13"/>
      <c r="G248" s="10" t="str">
        <f aca="false">IF(AND(E248&lt;&gt;"",F248&lt;&gt;""),E248*F248,"")</f>
        <v/>
      </c>
      <c r="H248" s="13"/>
      <c r="I248" s="12"/>
    </row>
    <row r="249" customFormat="false" ht="15" hidden="false" customHeight="false" outlineLevel="0" collapsed="false">
      <c r="A249" s="11"/>
      <c r="B249" s="12"/>
      <c r="C249" s="12"/>
      <c r="D249" s="13"/>
      <c r="E249" s="13"/>
      <c r="F249" s="13"/>
      <c r="G249" s="10" t="str">
        <f aca="false">IF(AND(E249&lt;&gt;"",F249&lt;&gt;""),E249*F249,"")</f>
        <v/>
      </c>
      <c r="H249" s="13"/>
      <c r="I249" s="12"/>
    </row>
    <row r="250" customFormat="false" ht="15" hidden="false" customHeight="false" outlineLevel="0" collapsed="false">
      <c r="A250" s="11"/>
      <c r="B250" s="12"/>
      <c r="C250" s="12"/>
      <c r="D250" s="13"/>
      <c r="E250" s="13"/>
      <c r="F250" s="13"/>
      <c r="G250" s="10" t="str">
        <f aca="false">IF(AND(E250&lt;&gt;"",F250&lt;&gt;""),E250*F250,"")</f>
        <v/>
      </c>
      <c r="H250" s="13"/>
      <c r="I250" s="12"/>
    </row>
    <row r="251" customFormat="false" ht="15" hidden="false" customHeight="false" outlineLevel="0" collapsed="false">
      <c r="A251" s="11"/>
      <c r="B251" s="12"/>
      <c r="C251" s="12"/>
      <c r="D251" s="13"/>
      <c r="E251" s="13"/>
      <c r="F251" s="13"/>
      <c r="G251" s="10" t="str">
        <f aca="false">IF(AND(E251&lt;&gt;"",F251&lt;&gt;""),E251*F251,"")</f>
        <v/>
      </c>
      <c r="H251" s="13"/>
      <c r="I251" s="12"/>
    </row>
    <row r="252" customFormat="false" ht="15" hidden="false" customHeight="false" outlineLevel="0" collapsed="false">
      <c r="A252" s="11"/>
      <c r="B252" s="12"/>
      <c r="C252" s="12"/>
      <c r="D252" s="13"/>
      <c r="E252" s="13"/>
      <c r="F252" s="13"/>
      <c r="G252" s="10" t="str">
        <f aca="false">IF(AND(E252&lt;&gt;"",F252&lt;&gt;""),E252*F252,"")</f>
        <v/>
      </c>
      <c r="H252" s="13"/>
      <c r="I252" s="12"/>
    </row>
    <row r="253" customFormat="false" ht="15" hidden="false" customHeight="false" outlineLevel="0" collapsed="false">
      <c r="A253" s="11"/>
      <c r="B253" s="12"/>
      <c r="C253" s="12"/>
      <c r="D253" s="13"/>
      <c r="E253" s="13"/>
      <c r="F253" s="13"/>
      <c r="G253" s="10" t="str">
        <f aca="false">IF(AND(E253&lt;&gt;"",F253&lt;&gt;""),E253*F253,"")</f>
        <v/>
      </c>
      <c r="H253" s="13"/>
      <c r="I253" s="12"/>
    </row>
    <row r="254" customFormat="false" ht="15" hidden="false" customHeight="false" outlineLevel="0" collapsed="false">
      <c r="A254" s="11"/>
      <c r="B254" s="12"/>
      <c r="C254" s="12"/>
      <c r="D254" s="13"/>
      <c r="E254" s="13"/>
      <c r="F254" s="13"/>
      <c r="G254" s="10" t="str">
        <f aca="false">IF(AND(E254&lt;&gt;"",F254&lt;&gt;""),E254*F254,"")</f>
        <v/>
      </c>
      <c r="H254" s="13"/>
      <c r="I254" s="12"/>
    </row>
    <row r="255" customFormat="false" ht="15" hidden="false" customHeight="false" outlineLevel="0" collapsed="false">
      <c r="A255" s="11"/>
      <c r="B255" s="12"/>
      <c r="C255" s="12"/>
      <c r="D255" s="13"/>
      <c r="E255" s="13"/>
      <c r="F255" s="13"/>
      <c r="G255" s="10" t="str">
        <f aca="false">IF(AND(E255&lt;&gt;"",F255&lt;&gt;""),E255*F255,"")</f>
        <v/>
      </c>
      <c r="H255" s="13"/>
      <c r="I255" s="12"/>
    </row>
    <row r="256" customFormat="false" ht="15" hidden="false" customHeight="false" outlineLevel="0" collapsed="false">
      <c r="A256" s="11"/>
      <c r="B256" s="12"/>
      <c r="C256" s="12"/>
      <c r="D256" s="13"/>
      <c r="E256" s="13"/>
      <c r="F256" s="13"/>
      <c r="G256" s="10" t="str">
        <f aca="false">IF(AND(E256&lt;&gt;"",F256&lt;&gt;""),E256*F256,"")</f>
        <v/>
      </c>
      <c r="H256" s="13"/>
      <c r="I256" s="12"/>
    </row>
    <row r="257" customFormat="false" ht="15" hidden="false" customHeight="false" outlineLevel="0" collapsed="false">
      <c r="A257" s="11"/>
      <c r="B257" s="12"/>
      <c r="C257" s="12"/>
      <c r="D257" s="13"/>
      <c r="E257" s="13"/>
      <c r="F257" s="13"/>
      <c r="G257" s="10" t="str">
        <f aca="false">IF(AND(E257&lt;&gt;"",F257&lt;&gt;""),E257*F257,"")</f>
        <v/>
      </c>
      <c r="H257" s="13"/>
      <c r="I257" s="12"/>
    </row>
    <row r="258" customFormat="false" ht="15" hidden="false" customHeight="false" outlineLevel="0" collapsed="false">
      <c r="A258" s="11"/>
      <c r="B258" s="12"/>
      <c r="C258" s="12"/>
      <c r="D258" s="13"/>
      <c r="E258" s="13"/>
      <c r="F258" s="13"/>
      <c r="G258" s="10" t="str">
        <f aca="false">IF(AND(E258&lt;&gt;"",F258&lt;&gt;""),E258*F258,"")</f>
        <v/>
      </c>
      <c r="H258" s="13"/>
      <c r="I258" s="12"/>
    </row>
    <row r="259" customFormat="false" ht="15" hidden="false" customHeight="false" outlineLevel="0" collapsed="false">
      <c r="A259" s="11"/>
      <c r="B259" s="12"/>
      <c r="C259" s="12"/>
      <c r="D259" s="13"/>
      <c r="E259" s="13"/>
      <c r="F259" s="13"/>
      <c r="G259" s="10" t="str">
        <f aca="false">IF(AND(E259&lt;&gt;"",F259&lt;&gt;""),E259*F259,"")</f>
        <v/>
      </c>
      <c r="H259" s="13"/>
      <c r="I259" s="12"/>
    </row>
    <row r="260" customFormat="false" ht="15" hidden="false" customHeight="false" outlineLevel="0" collapsed="false">
      <c r="A260" s="11"/>
      <c r="B260" s="12"/>
      <c r="C260" s="12"/>
      <c r="D260" s="13"/>
      <c r="E260" s="13"/>
      <c r="F260" s="13"/>
      <c r="G260" s="10" t="str">
        <f aca="false">IF(AND(E260&lt;&gt;"",F260&lt;&gt;""),E260*F260,"")</f>
        <v/>
      </c>
      <c r="H260" s="13"/>
      <c r="I260" s="12"/>
    </row>
    <row r="261" customFormat="false" ht="15" hidden="false" customHeight="false" outlineLevel="0" collapsed="false">
      <c r="A261" s="11"/>
      <c r="B261" s="12"/>
      <c r="C261" s="12"/>
      <c r="D261" s="13"/>
      <c r="E261" s="13"/>
      <c r="F261" s="13"/>
      <c r="G261" s="10" t="str">
        <f aca="false">IF(AND(E261&lt;&gt;"",F261&lt;&gt;""),E261*F261,"")</f>
        <v/>
      </c>
      <c r="H261" s="13"/>
      <c r="I261" s="12"/>
    </row>
    <row r="262" customFormat="false" ht="15" hidden="false" customHeight="false" outlineLevel="0" collapsed="false">
      <c r="A262" s="11"/>
      <c r="B262" s="12"/>
      <c r="C262" s="12"/>
      <c r="D262" s="13"/>
      <c r="E262" s="13"/>
      <c r="F262" s="13"/>
      <c r="G262" s="10" t="str">
        <f aca="false">IF(AND(E262&lt;&gt;"",F262&lt;&gt;""),E262*F262,"")</f>
        <v/>
      </c>
      <c r="H262" s="13"/>
      <c r="I262" s="12"/>
    </row>
    <row r="263" customFormat="false" ht="15" hidden="false" customHeight="false" outlineLevel="0" collapsed="false">
      <c r="A263" s="11"/>
      <c r="B263" s="12"/>
      <c r="C263" s="12"/>
      <c r="D263" s="13"/>
      <c r="E263" s="13"/>
      <c r="F263" s="13"/>
      <c r="G263" s="10" t="str">
        <f aca="false">IF(AND(E263&lt;&gt;"",F263&lt;&gt;""),E263*F263,"")</f>
        <v/>
      </c>
      <c r="H263" s="13"/>
      <c r="I263" s="12"/>
    </row>
    <row r="264" customFormat="false" ht="15" hidden="false" customHeight="false" outlineLevel="0" collapsed="false">
      <c r="A264" s="11"/>
      <c r="B264" s="12"/>
      <c r="C264" s="12"/>
      <c r="D264" s="13"/>
      <c r="E264" s="13"/>
      <c r="F264" s="13"/>
      <c r="G264" s="10" t="str">
        <f aca="false">IF(AND(E264&lt;&gt;"",F264&lt;&gt;""),E264*F264,"")</f>
        <v/>
      </c>
      <c r="H264" s="13"/>
      <c r="I264" s="12"/>
    </row>
    <row r="265" customFormat="false" ht="15" hidden="false" customHeight="false" outlineLevel="0" collapsed="false">
      <c r="A265" s="11"/>
      <c r="B265" s="12"/>
      <c r="C265" s="12"/>
      <c r="D265" s="13"/>
      <c r="E265" s="13"/>
      <c r="F265" s="13"/>
      <c r="G265" s="10" t="str">
        <f aca="false">IF(AND(E265&lt;&gt;"",F265&lt;&gt;""),E265*F265,"")</f>
        <v/>
      </c>
      <c r="H265" s="13"/>
      <c r="I265" s="12"/>
    </row>
    <row r="266" customFormat="false" ht="15" hidden="false" customHeight="false" outlineLevel="0" collapsed="false">
      <c r="A266" s="11"/>
      <c r="B266" s="12"/>
      <c r="C266" s="12"/>
      <c r="D266" s="13"/>
      <c r="E266" s="13"/>
      <c r="F266" s="13"/>
      <c r="G266" s="10" t="str">
        <f aca="false">IF(AND(E266&lt;&gt;"",F266&lt;&gt;""),E266*F266,"")</f>
        <v/>
      </c>
      <c r="H266" s="13"/>
      <c r="I266" s="12"/>
    </row>
    <row r="267" customFormat="false" ht="15" hidden="false" customHeight="false" outlineLevel="0" collapsed="false">
      <c r="A267" s="11"/>
      <c r="B267" s="12"/>
      <c r="C267" s="12"/>
      <c r="D267" s="13"/>
      <c r="E267" s="13"/>
      <c r="F267" s="13"/>
      <c r="G267" s="10" t="str">
        <f aca="false">IF(AND(E267&lt;&gt;"",F267&lt;&gt;""),E267*F267,"")</f>
        <v/>
      </c>
      <c r="H267" s="13"/>
      <c r="I267" s="12"/>
    </row>
    <row r="268" customFormat="false" ht="15" hidden="false" customHeight="false" outlineLevel="0" collapsed="false">
      <c r="A268" s="11"/>
      <c r="B268" s="12"/>
      <c r="C268" s="12"/>
      <c r="D268" s="13"/>
      <c r="E268" s="13"/>
      <c r="F268" s="13"/>
      <c r="G268" s="10" t="str">
        <f aca="false">IF(AND(E268&lt;&gt;"",F268&lt;&gt;""),E268*F268,"")</f>
        <v/>
      </c>
      <c r="H268" s="13"/>
      <c r="I268" s="12"/>
    </row>
    <row r="269" customFormat="false" ht="15" hidden="false" customHeight="false" outlineLevel="0" collapsed="false">
      <c r="A269" s="11"/>
      <c r="B269" s="12"/>
      <c r="C269" s="12"/>
      <c r="D269" s="13"/>
      <c r="E269" s="13"/>
      <c r="F269" s="13"/>
      <c r="G269" s="10" t="str">
        <f aca="false">IF(AND(E269&lt;&gt;"",F269&lt;&gt;""),E269*F269,"")</f>
        <v/>
      </c>
      <c r="H269" s="13"/>
      <c r="I269" s="12"/>
    </row>
    <row r="270" customFormat="false" ht="15" hidden="false" customHeight="false" outlineLevel="0" collapsed="false">
      <c r="A270" s="11"/>
      <c r="B270" s="12"/>
      <c r="C270" s="12"/>
      <c r="D270" s="13"/>
      <c r="E270" s="13"/>
      <c r="F270" s="13"/>
      <c r="G270" s="10" t="str">
        <f aca="false">IF(AND(E270&lt;&gt;"",F270&lt;&gt;""),E270*F270,"")</f>
        <v/>
      </c>
      <c r="H270" s="13"/>
      <c r="I270" s="12"/>
    </row>
    <row r="271" customFormat="false" ht="15" hidden="false" customHeight="false" outlineLevel="0" collapsed="false">
      <c r="A271" s="11"/>
      <c r="B271" s="12"/>
      <c r="C271" s="12"/>
      <c r="D271" s="13"/>
      <c r="E271" s="13"/>
      <c r="F271" s="13"/>
      <c r="G271" s="10" t="str">
        <f aca="false">IF(AND(E271&lt;&gt;"",F271&lt;&gt;""),E271*F271,"")</f>
        <v/>
      </c>
      <c r="H271" s="13"/>
      <c r="I271" s="12"/>
    </row>
    <row r="272" customFormat="false" ht="15" hidden="false" customHeight="false" outlineLevel="0" collapsed="false">
      <c r="A272" s="11"/>
      <c r="B272" s="12"/>
      <c r="C272" s="12"/>
      <c r="D272" s="13"/>
      <c r="E272" s="13"/>
      <c r="F272" s="13"/>
      <c r="G272" s="10" t="str">
        <f aca="false">IF(AND(E272&lt;&gt;"",F272&lt;&gt;""),E272*F272,"")</f>
        <v/>
      </c>
      <c r="H272" s="13"/>
      <c r="I272" s="12"/>
    </row>
    <row r="273" customFormat="false" ht="15" hidden="false" customHeight="false" outlineLevel="0" collapsed="false">
      <c r="A273" s="11"/>
      <c r="B273" s="12"/>
      <c r="C273" s="12"/>
      <c r="D273" s="13"/>
      <c r="E273" s="13"/>
      <c r="F273" s="13"/>
      <c r="G273" s="10" t="str">
        <f aca="false">IF(AND(E273&lt;&gt;"",F273&lt;&gt;""),E273*F273,"")</f>
        <v/>
      </c>
      <c r="H273" s="13"/>
      <c r="I273" s="12"/>
    </row>
    <row r="274" customFormat="false" ht="15" hidden="false" customHeight="false" outlineLevel="0" collapsed="false">
      <c r="A274" s="11"/>
      <c r="B274" s="12"/>
      <c r="C274" s="12"/>
      <c r="D274" s="13"/>
      <c r="E274" s="13"/>
      <c r="F274" s="13"/>
      <c r="G274" s="10" t="str">
        <f aca="false">IF(AND(E274&lt;&gt;"",F274&lt;&gt;""),E274*F274,"")</f>
        <v/>
      </c>
      <c r="H274" s="13"/>
      <c r="I274" s="12"/>
    </row>
    <row r="275" customFormat="false" ht="15" hidden="false" customHeight="false" outlineLevel="0" collapsed="false">
      <c r="A275" s="11"/>
      <c r="B275" s="12"/>
      <c r="C275" s="12"/>
      <c r="D275" s="13"/>
      <c r="E275" s="13"/>
      <c r="F275" s="13"/>
      <c r="G275" s="10" t="str">
        <f aca="false">IF(AND(E275&lt;&gt;"",F275&lt;&gt;""),E275*F275,"")</f>
        <v/>
      </c>
      <c r="H275" s="13"/>
      <c r="I275" s="12"/>
    </row>
    <row r="276" customFormat="false" ht="15" hidden="false" customHeight="false" outlineLevel="0" collapsed="false">
      <c r="A276" s="11"/>
      <c r="B276" s="12"/>
      <c r="C276" s="12"/>
      <c r="D276" s="13"/>
      <c r="E276" s="13"/>
      <c r="F276" s="13"/>
      <c r="G276" s="10" t="str">
        <f aca="false">IF(AND(E276&lt;&gt;"",F276&lt;&gt;""),E276*F276,"")</f>
        <v/>
      </c>
      <c r="H276" s="13"/>
      <c r="I276" s="12"/>
    </row>
    <row r="277" customFormat="false" ht="15" hidden="false" customHeight="false" outlineLevel="0" collapsed="false">
      <c r="A277" s="11"/>
      <c r="B277" s="12"/>
      <c r="C277" s="12"/>
      <c r="D277" s="13"/>
      <c r="E277" s="13"/>
      <c r="F277" s="13"/>
      <c r="G277" s="10" t="str">
        <f aca="false">IF(AND(E277&lt;&gt;"",F277&lt;&gt;""),E277*F277,"")</f>
        <v/>
      </c>
      <c r="H277" s="13"/>
      <c r="I277" s="12"/>
    </row>
    <row r="278" customFormat="false" ht="15" hidden="false" customHeight="false" outlineLevel="0" collapsed="false">
      <c r="A278" s="11"/>
      <c r="B278" s="12"/>
      <c r="C278" s="12"/>
      <c r="D278" s="13"/>
      <c r="E278" s="13"/>
      <c r="F278" s="13"/>
      <c r="G278" s="10" t="str">
        <f aca="false">IF(AND(E278&lt;&gt;"",F278&lt;&gt;""),E278*F278,"")</f>
        <v/>
      </c>
      <c r="H278" s="13"/>
      <c r="I278" s="12"/>
    </row>
    <row r="279" customFormat="false" ht="15" hidden="false" customHeight="false" outlineLevel="0" collapsed="false">
      <c r="A279" s="11"/>
      <c r="B279" s="12"/>
      <c r="C279" s="12"/>
      <c r="D279" s="13"/>
      <c r="E279" s="13"/>
      <c r="F279" s="13"/>
      <c r="G279" s="10" t="str">
        <f aca="false">IF(AND(E279&lt;&gt;"",F279&lt;&gt;""),E279*F279,"")</f>
        <v/>
      </c>
      <c r="H279" s="13"/>
      <c r="I279" s="12"/>
    </row>
    <row r="280" customFormat="false" ht="15" hidden="false" customHeight="false" outlineLevel="0" collapsed="false">
      <c r="A280" s="11"/>
      <c r="B280" s="12"/>
      <c r="C280" s="12"/>
      <c r="D280" s="13"/>
      <c r="E280" s="13"/>
      <c r="F280" s="13"/>
      <c r="G280" s="10" t="str">
        <f aca="false">IF(AND(E280&lt;&gt;"",F280&lt;&gt;""),E280*F280,"")</f>
        <v/>
      </c>
      <c r="H280" s="13"/>
      <c r="I280" s="12"/>
    </row>
    <row r="281" customFormat="false" ht="15" hidden="false" customHeight="false" outlineLevel="0" collapsed="false">
      <c r="A281" s="11"/>
      <c r="B281" s="12"/>
      <c r="C281" s="12"/>
      <c r="D281" s="13"/>
      <c r="E281" s="13"/>
      <c r="F281" s="13"/>
      <c r="G281" s="10" t="str">
        <f aca="false">IF(AND(E281&lt;&gt;"",F281&lt;&gt;""),E281*F281,"")</f>
        <v/>
      </c>
      <c r="H281" s="13"/>
      <c r="I281" s="12"/>
    </row>
    <row r="282" customFormat="false" ht="15" hidden="false" customHeight="false" outlineLevel="0" collapsed="false">
      <c r="A282" s="11"/>
      <c r="B282" s="12"/>
      <c r="C282" s="12"/>
      <c r="D282" s="13"/>
      <c r="E282" s="13"/>
      <c r="F282" s="13"/>
      <c r="G282" s="10" t="str">
        <f aca="false">IF(AND(E282&lt;&gt;"",F282&lt;&gt;""),E282*F282,"")</f>
        <v/>
      </c>
      <c r="H282" s="13"/>
      <c r="I282" s="12"/>
    </row>
    <row r="283" customFormat="false" ht="15" hidden="false" customHeight="false" outlineLevel="0" collapsed="false">
      <c r="A283" s="11"/>
      <c r="B283" s="12"/>
      <c r="C283" s="12"/>
      <c r="D283" s="13"/>
      <c r="E283" s="13"/>
      <c r="F283" s="13"/>
      <c r="G283" s="10" t="str">
        <f aca="false">IF(AND(E283&lt;&gt;"",F283&lt;&gt;""),E283*F283,"")</f>
        <v/>
      </c>
      <c r="H283" s="13"/>
      <c r="I283" s="12"/>
    </row>
    <row r="284" customFormat="false" ht="15" hidden="false" customHeight="false" outlineLevel="0" collapsed="false">
      <c r="A284" s="11"/>
      <c r="B284" s="12"/>
      <c r="C284" s="12"/>
      <c r="D284" s="13"/>
      <c r="E284" s="13"/>
      <c r="F284" s="13"/>
      <c r="G284" s="10" t="str">
        <f aca="false">IF(AND(E284&lt;&gt;"",F284&lt;&gt;""),E284*F284,"")</f>
        <v/>
      </c>
      <c r="H284" s="13"/>
      <c r="I284" s="12"/>
    </row>
    <row r="285" customFormat="false" ht="15" hidden="false" customHeight="false" outlineLevel="0" collapsed="false">
      <c r="A285" s="11"/>
      <c r="B285" s="12"/>
      <c r="C285" s="12"/>
      <c r="D285" s="13"/>
      <c r="E285" s="13"/>
      <c r="F285" s="13"/>
      <c r="G285" s="10" t="str">
        <f aca="false">IF(AND(E285&lt;&gt;"",F285&lt;&gt;""),E285*F285,"")</f>
        <v/>
      </c>
      <c r="H285" s="13"/>
      <c r="I285" s="12"/>
    </row>
    <row r="286" customFormat="false" ht="15" hidden="false" customHeight="false" outlineLevel="0" collapsed="false">
      <c r="A286" s="11"/>
      <c r="B286" s="12"/>
      <c r="C286" s="12"/>
      <c r="D286" s="13"/>
      <c r="E286" s="13"/>
      <c r="F286" s="13"/>
      <c r="G286" s="10" t="str">
        <f aca="false">IF(AND(E286&lt;&gt;"",F286&lt;&gt;""),E286*F286,"")</f>
        <v/>
      </c>
      <c r="H286" s="13"/>
      <c r="I286" s="12"/>
    </row>
    <row r="287" customFormat="false" ht="15" hidden="false" customHeight="false" outlineLevel="0" collapsed="false">
      <c r="A287" s="11"/>
      <c r="B287" s="12"/>
      <c r="C287" s="12"/>
      <c r="D287" s="13"/>
      <c r="E287" s="13"/>
      <c r="F287" s="13"/>
      <c r="G287" s="10" t="str">
        <f aca="false">IF(AND(E287&lt;&gt;"",F287&lt;&gt;""),E287*F287,"")</f>
        <v/>
      </c>
      <c r="H287" s="13"/>
      <c r="I287" s="12"/>
    </row>
    <row r="288" customFormat="false" ht="15" hidden="false" customHeight="false" outlineLevel="0" collapsed="false">
      <c r="A288" s="11"/>
      <c r="B288" s="12"/>
      <c r="C288" s="12"/>
      <c r="D288" s="13"/>
      <c r="E288" s="13"/>
      <c r="F288" s="13"/>
      <c r="G288" s="10" t="str">
        <f aca="false">IF(AND(E288&lt;&gt;"",F288&lt;&gt;""),E288*F288,"")</f>
        <v/>
      </c>
      <c r="H288" s="13"/>
      <c r="I288" s="12"/>
    </row>
    <row r="289" customFormat="false" ht="15" hidden="false" customHeight="false" outlineLevel="0" collapsed="false">
      <c r="A289" s="11"/>
      <c r="B289" s="12"/>
      <c r="C289" s="12"/>
      <c r="D289" s="13"/>
      <c r="E289" s="13"/>
      <c r="F289" s="13"/>
      <c r="G289" s="10" t="str">
        <f aca="false">IF(AND(E289&lt;&gt;"",F289&lt;&gt;""),E289*F289,"")</f>
        <v/>
      </c>
      <c r="H289" s="13"/>
      <c r="I289" s="12"/>
    </row>
    <row r="290" customFormat="false" ht="15" hidden="false" customHeight="false" outlineLevel="0" collapsed="false">
      <c r="A290" s="11"/>
      <c r="B290" s="12"/>
      <c r="C290" s="12"/>
      <c r="D290" s="13"/>
      <c r="E290" s="13"/>
      <c r="F290" s="13"/>
      <c r="G290" s="10" t="str">
        <f aca="false">IF(AND(E290&lt;&gt;"",F290&lt;&gt;""),E290*F290,"")</f>
        <v/>
      </c>
      <c r="H290" s="13"/>
      <c r="I290" s="12"/>
    </row>
    <row r="291" customFormat="false" ht="15" hidden="false" customHeight="false" outlineLevel="0" collapsed="false">
      <c r="A291" s="11"/>
      <c r="B291" s="12"/>
      <c r="C291" s="12"/>
      <c r="D291" s="13"/>
      <c r="E291" s="13"/>
      <c r="F291" s="13"/>
      <c r="G291" s="10" t="str">
        <f aca="false">IF(AND(E291&lt;&gt;"",F291&lt;&gt;""),E291*F291,"")</f>
        <v/>
      </c>
      <c r="H291" s="13"/>
      <c r="I291" s="12"/>
    </row>
    <row r="292" customFormat="false" ht="15" hidden="false" customHeight="false" outlineLevel="0" collapsed="false">
      <c r="A292" s="11"/>
      <c r="B292" s="12"/>
      <c r="C292" s="12"/>
      <c r="D292" s="13"/>
      <c r="E292" s="13"/>
      <c r="F292" s="13"/>
      <c r="G292" s="10" t="str">
        <f aca="false">IF(AND(E292&lt;&gt;"",F292&lt;&gt;""),E292*F292,"")</f>
        <v/>
      </c>
      <c r="H292" s="13"/>
      <c r="I292" s="12"/>
    </row>
    <row r="293" customFormat="false" ht="15" hidden="false" customHeight="false" outlineLevel="0" collapsed="false">
      <c r="A293" s="11"/>
      <c r="B293" s="12"/>
      <c r="C293" s="12"/>
      <c r="D293" s="13"/>
      <c r="E293" s="13"/>
      <c r="F293" s="13"/>
      <c r="G293" s="10" t="str">
        <f aca="false">IF(AND(E293&lt;&gt;"",F293&lt;&gt;""),E293*F293,"")</f>
        <v/>
      </c>
      <c r="H293" s="13"/>
      <c r="I293" s="12"/>
    </row>
    <row r="294" customFormat="false" ht="15" hidden="false" customHeight="false" outlineLevel="0" collapsed="false">
      <c r="A294" s="11"/>
      <c r="B294" s="12"/>
      <c r="C294" s="12"/>
      <c r="D294" s="13"/>
      <c r="E294" s="13"/>
      <c r="F294" s="13"/>
      <c r="G294" s="10" t="str">
        <f aca="false">IF(AND(E294&lt;&gt;"",F294&lt;&gt;""),E294*F294,"")</f>
        <v/>
      </c>
      <c r="H294" s="13"/>
      <c r="I294" s="12"/>
    </row>
    <row r="295" customFormat="false" ht="15" hidden="false" customHeight="false" outlineLevel="0" collapsed="false">
      <c r="A295" s="11"/>
      <c r="B295" s="12"/>
      <c r="C295" s="12"/>
      <c r="D295" s="13"/>
      <c r="E295" s="13"/>
      <c r="F295" s="13"/>
      <c r="G295" s="10" t="str">
        <f aca="false">IF(AND(E295&lt;&gt;"",F295&lt;&gt;""),E295*F295,"")</f>
        <v/>
      </c>
      <c r="H295" s="13"/>
      <c r="I295" s="12"/>
    </row>
    <row r="296" customFormat="false" ht="15" hidden="false" customHeight="false" outlineLevel="0" collapsed="false">
      <c r="A296" s="11"/>
      <c r="B296" s="12"/>
      <c r="C296" s="12"/>
      <c r="D296" s="13"/>
      <c r="E296" s="13"/>
      <c r="F296" s="13"/>
      <c r="G296" s="10" t="str">
        <f aca="false">IF(AND(E296&lt;&gt;"",F296&lt;&gt;""),E296*F296,"")</f>
        <v/>
      </c>
      <c r="H296" s="13"/>
      <c r="I296" s="12"/>
    </row>
    <row r="297" customFormat="false" ht="15" hidden="false" customHeight="false" outlineLevel="0" collapsed="false">
      <c r="A297" s="11"/>
      <c r="B297" s="12"/>
      <c r="C297" s="12"/>
      <c r="D297" s="13"/>
      <c r="E297" s="13"/>
      <c r="F297" s="13"/>
      <c r="G297" s="10" t="str">
        <f aca="false">IF(AND(E297&lt;&gt;"",F297&lt;&gt;""),E297*F297,"")</f>
        <v/>
      </c>
      <c r="H297" s="13"/>
      <c r="I297" s="12"/>
    </row>
    <row r="298" customFormat="false" ht="15" hidden="false" customHeight="false" outlineLevel="0" collapsed="false">
      <c r="A298" s="11"/>
      <c r="B298" s="12"/>
      <c r="C298" s="12"/>
      <c r="D298" s="13"/>
      <c r="E298" s="13"/>
      <c r="F298" s="13"/>
      <c r="G298" s="10" t="str">
        <f aca="false">IF(AND(E298&lt;&gt;"",F298&lt;&gt;""),E298*F298,"")</f>
        <v/>
      </c>
      <c r="H298" s="13"/>
      <c r="I298" s="12"/>
    </row>
    <row r="299" customFormat="false" ht="15" hidden="false" customHeight="false" outlineLevel="0" collapsed="false">
      <c r="A299" s="11"/>
      <c r="B299" s="12"/>
      <c r="C299" s="12"/>
      <c r="D299" s="13"/>
      <c r="E299" s="13"/>
      <c r="F299" s="13"/>
      <c r="G299" s="10" t="str">
        <f aca="false">IF(AND(E299&lt;&gt;"",F299&lt;&gt;""),E299*F299,"")</f>
        <v/>
      </c>
      <c r="H299" s="13"/>
      <c r="I299" s="12"/>
    </row>
    <row r="300" customFormat="false" ht="15" hidden="false" customHeight="false" outlineLevel="0" collapsed="false">
      <c r="A300" s="11"/>
      <c r="B300" s="12"/>
      <c r="C300" s="12"/>
      <c r="D300" s="13"/>
      <c r="E300" s="13"/>
      <c r="F300" s="13"/>
      <c r="G300" s="10" t="str">
        <f aca="false">IF(AND(E300&lt;&gt;"",F300&lt;&gt;""),E300*F300,"")</f>
        <v/>
      </c>
      <c r="H300" s="13"/>
      <c r="I300" s="12"/>
    </row>
    <row r="301" customFormat="false" ht="15" hidden="false" customHeight="false" outlineLevel="0" collapsed="false">
      <c r="A301" s="11"/>
      <c r="B301" s="12"/>
      <c r="C301" s="12"/>
      <c r="D301" s="13"/>
      <c r="E301" s="13"/>
      <c r="F301" s="13"/>
      <c r="G301" s="10" t="str">
        <f aca="false">IF(AND(E301&lt;&gt;"",F301&lt;&gt;""),E301*F301,"")</f>
        <v/>
      </c>
      <c r="H301" s="13"/>
      <c r="I301" s="12"/>
    </row>
    <row r="302" customFormat="false" ht="15" hidden="false" customHeight="false" outlineLevel="0" collapsed="false">
      <c r="A302" s="11"/>
      <c r="B302" s="12"/>
      <c r="C302" s="12"/>
      <c r="D302" s="13"/>
      <c r="E302" s="13"/>
      <c r="F302" s="13"/>
      <c r="G302" s="10" t="str">
        <f aca="false">IF(AND(E302&lt;&gt;"",F302&lt;&gt;""),E302*F302,"")</f>
        <v/>
      </c>
      <c r="H302" s="13"/>
      <c r="I302" s="12"/>
    </row>
    <row r="303" customFormat="false" ht="15" hidden="false" customHeight="false" outlineLevel="0" collapsed="false">
      <c r="A303" s="11"/>
      <c r="B303" s="12"/>
      <c r="C303" s="12"/>
      <c r="D303" s="13"/>
      <c r="E303" s="13"/>
      <c r="F303" s="13"/>
      <c r="G303" s="10" t="str">
        <f aca="false">IF(AND(E303&lt;&gt;"",F303&lt;&gt;""),E303*F303,"")</f>
        <v/>
      </c>
      <c r="H303" s="13"/>
      <c r="I303" s="12"/>
    </row>
    <row r="304" customFormat="false" ht="15" hidden="false" customHeight="false" outlineLevel="0" collapsed="false">
      <c r="A304" s="11"/>
      <c r="B304" s="12"/>
      <c r="C304" s="12"/>
      <c r="D304" s="13"/>
      <c r="E304" s="13"/>
      <c r="F304" s="13"/>
      <c r="G304" s="10" t="str">
        <f aca="false">IF(AND(E304&lt;&gt;"",F304&lt;&gt;""),E304*F304,"")</f>
        <v/>
      </c>
      <c r="H304" s="13"/>
      <c r="I304" s="12"/>
    </row>
    <row r="305" customFormat="false" ht="15" hidden="false" customHeight="false" outlineLevel="0" collapsed="false">
      <c r="A305" s="11"/>
      <c r="B305" s="12"/>
      <c r="C305" s="12"/>
      <c r="D305" s="13"/>
      <c r="E305" s="13"/>
      <c r="F305" s="13"/>
      <c r="G305" s="10" t="str">
        <f aca="false">IF(AND(E305&lt;&gt;"",F305&lt;&gt;""),E305*F305,"")</f>
        <v/>
      </c>
      <c r="H305" s="13"/>
      <c r="I305" s="12"/>
    </row>
    <row r="306" customFormat="false" ht="15" hidden="false" customHeight="false" outlineLevel="0" collapsed="false">
      <c r="A306" s="11"/>
      <c r="B306" s="12"/>
      <c r="C306" s="12"/>
      <c r="D306" s="13"/>
      <c r="E306" s="13"/>
      <c r="F306" s="13"/>
      <c r="G306" s="10" t="str">
        <f aca="false">IF(AND(E306&lt;&gt;"",F306&lt;&gt;""),E306*F306,"")</f>
        <v/>
      </c>
      <c r="H306" s="13"/>
      <c r="I306" s="12"/>
    </row>
    <row r="307" customFormat="false" ht="15" hidden="false" customHeight="false" outlineLevel="0" collapsed="false">
      <c r="A307" s="11"/>
      <c r="B307" s="12"/>
      <c r="C307" s="12"/>
      <c r="D307" s="13"/>
      <c r="E307" s="13"/>
      <c r="F307" s="13"/>
      <c r="G307" s="10" t="str">
        <f aca="false">IF(AND(E307&lt;&gt;"",F307&lt;&gt;""),E307*F307,"")</f>
        <v/>
      </c>
      <c r="H307" s="13"/>
      <c r="I307" s="12"/>
    </row>
    <row r="308" customFormat="false" ht="15" hidden="false" customHeight="false" outlineLevel="0" collapsed="false">
      <c r="A308" s="11"/>
      <c r="B308" s="12"/>
      <c r="C308" s="12"/>
      <c r="D308" s="13"/>
      <c r="E308" s="13"/>
      <c r="F308" s="13"/>
      <c r="G308" s="10" t="str">
        <f aca="false">IF(AND(E308&lt;&gt;"",F308&lt;&gt;""),E308*F308,"")</f>
        <v/>
      </c>
      <c r="H308" s="13"/>
      <c r="I308" s="12"/>
    </row>
    <row r="309" customFormat="false" ht="15" hidden="false" customHeight="false" outlineLevel="0" collapsed="false">
      <c r="A309" s="11"/>
      <c r="B309" s="12"/>
      <c r="C309" s="12"/>
      <c r="D309" s="13"/>
      <c r="E309" s="13"/>
      <c r="F309" s="13"/>
      <c r="G309" s="10" t="str">
        <f aca="false">IF(AND(E309&lt;&gt;"",F309&lt;&gt;""),E309*F309,"")</f>
        <v/>
      </c>
      <c r="H309" s="13"/>
      <c r="I309" s="12"/>
    </row>
    <row r="310" customFormat="false" ht="15" hidden="false" customHeight="false" outlineLevel="0" collapsed="false">
      <c r="A310" s="11"/>
      <c r="B310" s="12"/>
      <c r="C310" s="12"/>
      <c r="D310" s="13"/>
      <c r="E310" s="13"/>
      <c r="F310" s="13"/>
      <c r="G310" s="10" t="str">
        <f aca="false">IF(AND(E310&lt;&gt;"",F310&lt;&gt;""),E310*F310,"")</f>
        <v/>
      </c>
      <c r="H310" s="13"/>
      <c r="I310" s="12"/>
    </row>
    <row r="311" customFormat="false" ht="15" hidden="false" customHeight="false" outlineLevel="0" collapsed="false">
      <c r="A311" s="11"/>
      <c r="B311" s="12"/>
      <c r="C311" s="12"/>
      <c r="D311" s="13"/>
      <c r="E311" s="13"/>
      <c r="F311" s="13"/>
      <c r="G311" s="10" t="str">
        <f aca="false">IF(AND(E311&lt;&gt;"",F311&lt;&gt;""),E311*F311,"")</f>
        <v/>
      </c>
      <c r="H311" s="13"/>
      <c r="I311" s="12"/>
    </row>
    <row r="312" customFormat="false" ht="15" hidden="false" customHeight="false" outlineLevel="0" collapsed="false">
      <c r="A312" s="11"/>
      <c r="B312" s="12"/>
      <c r="C312" s="12"/>
      <c r="D312" s="13"/>
      <c r="E312" s="13"/>
      <c r="F312" s="13"/>
      <c r="G312" s="10" t="str">
        <f aca="false">IF(AND(E312&lt;&gt;"",F312&lt;&gt;""),E312*F312,"")</f>
        <v/>
      </c>
      <c r="H312" s="13"/>
      <c r="I312" s="12"/>
    </row>
    <row r="313" customFormat="false" ht="15" hidden="false" customHeight="false" outlineLevel="0" collapsed="false">
      <c r="A313" s="11"/>
      <c r="B313" s="12"/>
      <c r="C313" s="12"/>
      <c r="D313" s="13"/>
      <c r="E313" s="13"/>
      <c r="F313" s="13"/>
      <c r="G313" s="10" t="str">
        <f aca="false">IF(AND(E313&lt;&gt;"",F313&lt;&gt;""),E313*F313,"")</f>
        <v/>
      </c>
      <c r="H313" s="13"/>
      <c r="I313" s="12"/>
    </row>
    <row r="314" customFormat="false" ht="15" hidden="false" customHeight="false" outlineLevel="0" collapsed="false">
      <c r="A314" s="11"/>
      <c r="B314" s="12"/>
      <c r="C314" s="12"/>
      <c r="D314" s="13"/>
      <c r="E314" s="13"/>
      <c r="F314" s="13"/>
      <c r="G314" s="10" t="str">
        <f aca="false">IF(AND(E314&lt;&gt;"",F314&lt;&gt;""),E314*F314,"")</f>
        <v/>
      </c>
      <c r="H314" s="13"/>
      <c r="I314" s="12"/>
    </row>
    <row r="315" customFormat="false" ht="15" hidden="false" customHeight="false" outlineLevel="0" collapsed="false">
      <c r="A315" s="11"/>
      <c r="B315" s="12"/>
      <c r="C315" s="12"/>
      <c r="D315" s="13"/>
      <c r="E315" s="13"/>
      <c r="F315" s="13"/>
      <c r="G315" s="10" t="str">
        <f aca="false">IF(AND(E315&lt;&gt;"",F315&lt;&gt;""),E315*F315,"")</f>
        <v/>
      </c>
      <c r="H315" s="13"/>
      <c r="I315" s="12"/>
    </row>
    <row r="316" customFormat="false" ht="15" hidden="false" customHeight="false" outlineLevel="0" collapsed="false">
      <c r="A316" s="11"/>
      <c r="B316" s="12"/>
      <c r="C316" s="12"/>
      <c r="D316" s="13"/>
      <c r="E316" s="13"/>
      <c r="F316" s="13"/>
      <c r="G316" s="10" t="str">
        <f aca="false">IF(AND(E316&lt;&gt;"",F316&lt;&gt;""),E316*F316,"")</f>
        <v/>
      </c>
      <c r="H316" s="13"/>
      <c r="I316" s="12"/>
    </row>
    <row r="317" customFormat="false" ht="15" hidden="false" customHeight="false" outlineLevel="0" collapsed="false">
      <c r="A317" s="11"/>
      <c r="B317" s="12"/>
      <c r="C317" s="12"/>
      <c r="D317" s="13"/>
      <c r="E317" s="13"/>
      <c r="F317" s="13"/>
      <c r="G317" s="10" t="str">
        <f aca="false">IF(AND(E317&lt;&gt;"",F317&lt;&gt;""),E317*F317,"")</f>
        <v/>
      </c>
      <c r="H317" s="13"/>
      <c r="I317" s="12"/>
    </row>
    <row r="318" customFormat="false" ht="15" hidden="false" customHeight="false" outlineLevel="0" collapsed="false">
      <c r="A318" s="11"/>
      <c r="B318" s="12"/>
      <c r="C318" s="12"/>
      <c r="D318" s="13"/>
      <c r="E318" s="13"/>
      <c r="F318" s="13"/>
      <c r="G318" s="10" t="str">
        <f aca="false">IF(AND(E318&lt;&gt;"",F318&lt;&gt;""),E318*F318,"")</f>
        <v/>
      </c>
      <c r="H318" s="13"/>
      <c r="I318" s="12"/>
    </row>
    <row r="319" customFormat="false" ht="15" hidden="false" customHeight="false" outlineLevel="0" collapsed="false">
      <c r="A319" s="11"/>
      <c r="B319" s="12"/>
      <c r="C319" s="12"/>
      <c r="D319" s="13"/>
      <c r="E319" s="13"/>
      <c r="F319" s="13"/>
      <c r="G319" s="10" t="str">
        <f aca="false">IF(AND(E319&lt;&gt;"",F319&lt;&gt;""),E319*F319,"")</f>
        <v/>
      </c>
      <c r="H319" s="13"/>
      <c r="I319" s="12"/>
    </row>
    <row r="320" customFormat="false" ht="15" hidden="false" customHeight="false" outlineLevel="0" collapsed="false">
      <c r="A320" s="11"/>
      <c r="B320" s="12"/>
      <c r="C320" s="12"/>
      <c r="D320" s="13"/>
      <c r="E320" s="13"/>
      <c r="F320" s="13"/>
      <c r="G320" s="10" t="str">
        <f aca="false">IF(AND(E320&lt;&gt;"",F320&lt;&gt;""),E320*F320,"")</f>
        <v/>
      </c>
      <c r="H320" s="13"/>
      <c r="I320" s="12"/>
    </row>
    <row r="321" customFormat="false" ht="15" hidden="false" customHeight="false" outlineLevel="0" collapsed="false">
      <c r="A321" s="11"/>
      <c r="B321" s="12"/>
      <c r="C321" s="12"/>
      <c r="D321" s="13"/>
      <c r="E321" s="13"/>
      <c r="F321" s="13"/>
      <c r="G321" s="10" t="str">
        <f aca="false">IF(AND(E321&lt;&gt;"",F321&lt;&gt;""),E321*F321,"")</f>
        <v/>
      </c>
      <c r="H321" s="13"/>
      <c r="I321" s="12"/>
    </row>
    <row r="322" customFormat="false" ht="15" hidden="false" customHeight="false" outlineLevel="0" collapsed="false">
      <c r="A322" s="11"/>
      <c r="B322" s="12"/>
      <c r="C322" s="12"/>
      <c r="D322" s="13"/>
      <c r="E322" s="13"/>
      <c r="F322" s="13"/>
      <c r="G322" s="10" t="str">
        <f aca="false">IF(AND(E322&lt;&gt;"",F322&lt;&gt;""),E322*F322,"")</f>
        <v/>
      </c>
      <c r="H322" s="13"/>
      <c r="I322" s="12"/>
    </row>
    <row r="323" customFormat="false" ht="15" hidden="false" customHeight="false" outlineLevel="0" collapsed="false">
      <c r="A323" s="11"/>
      <c r="B323" s="12"/>
      <c r="C323" s="12"/>
      <c r="D323" s="13"/>
      <c r="E323" s="13"/>
      <c r="F323" s="13"/>
      <c r="G323" s="10" t="str">
        <f aca="false">IF(AND(E323&lt;&gt;"",F323&lt;&gt;""),E323*F323,"")</f>
        <v/>
      </c>
      <c r="H323" s="13"/>
      <c r="I323" s="12"/>
    </row>
    <row r="324" customFormat="false" ht="15" hidden="false" customHeight="false" outlineLevel="0" collapsed="false">
      <c r="A324" s="11"/>
      <c r="B324" s="12"/>
      <c r="C324" s="12"/>
      <c r="D324" s="13"/>
      <c r="E324" s="13"/>
      <c r="F324" s="13"/>
      <c r="G324" s="10" t="str">
        <f aca="false">IF(AND(E324&lt;&gt;"",F324&lt;&gt;""),E324*F324,"")</f>
        <v/>
      </c>
      <c r="H324" s="13"/>
      <c r="I324" s="12"/>
    </row>
    <row r="325" customFormat="false" ht="15" hidden="false" customHeight="false" outlineLevel="0" collapsed="false">
      <c r="A325" s="11"/>
      <c r="B325" s="12"/>
      <c r="C325" s="12"/>
      <c r="D325" s="13"/>
      <c r="E325" s="13"/>
      <c r="F325" s="13"/>
      <c r="G325" s="10" t="str">
        <f aca="false">IF(AND(E325&lt;&gt;"",F325&lt;&gt;""),E325*F325,"")</f>
        <v/>
      </c>
      <c r="H325" s="13"/>
      <c r="I325" s="12"/>
    </row>
    <row r="326" customFormat="false" ht="15" hidden="false" customHeight="false" outlineLevel="0" collapsed="false">
      <c r="A326" s="11"/>
      <c r="B326" s="12"/>
      <c r="C326" s="12"/>
      <c r="D326" s="13"/>
      <c r="E326" s="13"/>
      <c r="F326" s="13"/>
      <c r="G326" s="10" t="str">
        <f aca="false">IF(AND(E326&lt;&gt;"",F326&lt;&gt;""),E326*F326,"")</f>
        <v/>
      </c>
      <c r="H326" s="13"/>
      <c r="I326" s="12"/>
    </row>
    <row r="327" customFormat="false" ht="15" hidden="false" customHeight="false" outlineLevel="0" collapsed="false">
      <c r="A327" s="11"/>
      <c r="B327" s="12"/>
      <c r="C327" s="12"/>
      <c r="D327" s="13"/>
      <c r="E327" s="13"/>
      <c r="F327" s="13"/>
      <c r="G327" s="10" t="str">
        <f aca="false">IF(AND(E327&lt;&gt;"",F327&lt;&gt;""),E327*F327,"")</f>
        <v/>
      </c>
      <c r="H327" s="13"/>
      <c r="I327" s="12"/>
    </row>
    <row r="328" customFormat="false" ht="15" hidden="false" customHeight="false" outlineLevel="0" collapsed="false">
      <c r="A328" s="11"/>
      <c r="B328" s="12"/>
      <c r="C328" s="12"/>
      <c r="D328" s="13"/>
      <c r="E328" s="13"/>
      <c r="F328" s="13"/>
      <c r="G328" s="10" t="str">
        <f aca="false">IF(AND(E328&lt;&gt;"",F328&lt;&gt;""),E328*F328,"")</f>
        <v/>
      </c>
      <c r="H328" s="13"/>
      <c r="I328" s="12"/>
    </row>
    <row r="329" customFormat="false" ht="15" hidden="false" customHeight="false" outlineLevel="0" collapsed="false">
      <c r="A329" s="11"/>
      <c r="B329" s="12"/>
      <c r="C329" s="12"/>
      <c r="D329" s="13"/>
      <c r="E329" s="13"/>
      <c r="F329" s="13"/>
      <c r="G329" s="10" t="str">
        <f aca="false">IF(AND(E329&lt;&gt;"",F329&lt;&gt;""),E329*F329,"")</f>
        <v/>
      </c>
      <c r="H329" s="13"/>
      <c r="I329" s="12"/>
    </row>
    <row r="330" customFormat="false" ht="15" hidden="false" customHeight="false" outlineLevel="0" collapsed="false">
      <c r="A330" s="11"/>
      <c r="B330" s="12"/>
      <c r="C330" s="12"/>
      <c r="D330" s="13"/>
      <c r="E330" s="13"/>
      <c r="F330" s="13"/>
      <c r="G330" s="10" t="str">
        <f aca="false">IF(AND(E330&lt;&gt;"",F330&lt;&gt;""),E330*F330,"")</f>
        <v/>
      </c>
      <c r="H330" s="13"/>
      <c r="I330" s="12"/>
    </row>
    <row r="331" customFormat="false" ht="15" hidden="false" customHeight="false" outlineLevel="0" collapsed="false">
      <c r="A331" s="11"/>
      <c r="B331" s="12"/>
      <c r="C331" s="12"/>
      <c r="D331" s="13"/>
      <c r="E331" s="13"/>
      <c r="F331" s="13"/>
      <c r="G331" s="10" t="str">
        <f aca="false">IF(AND(E331&lt;&gt;"",F331&lt;&gt;""),E331*F331,"")</f>
        <v/>
      </c>
      <c r="H331" s="13"/>
      <c r="I331" s="12"/>
    </row>
    <row r="332" customFormat="false" ht="15" hidden="false" customHeight="false" outlineLevel="0" collapsed="false">
      <c r="A332" s="11"/>
      <c r="B332" s="12"/>
      <c r="C332" s="12"/>
      <c r="D332" s="13"/>
      <c r="E332" s="13"/>
      <c r="F332" s="13"/>
      <c r="G332" s="10" t="str">
        <f aca="false">IF(AND(E332&lt;&gt;"",F332&lt;&gt;""),E332*F332,"")</f>
        <v/>
      </c>
      <c r="H332" s="13"/>
      <c r="I332" s="12"/>
    </row>
    <row r="333" customFormat="false" ht="15" hidden="false" customHeight="false" outlineLevel="0" collapsed="false">
      <c r="A333" s="11"/>
      <c r="B333" s="12"/>
      <c r="C333" s="12"/>
      <c r="D333" s="13"/>
      <c r="E333" s="13"/>
      <c r="F333" s="13"/>
      <c r="G333" s="10" t="str">
        <f aca="false">IF(AND(E333&lt;&gt;"",F333&lt;&gt;""),E333*F333,"")</f>
        <v/>
      </c>
      <c r="H333" s="13"/>
      <c r="I333" s="12"/>
    </row>
    <row r="334" customFormat="false" ht="15" hidden="false" customHeight="false" outlineLevel="0" collapsed="false">
      <c r="A334" s="11"/>
      <c r="B334" s="12"/>
      <c r="C334" s="12"/>
      <c r="D334" s="13"/>
      <c r="E334" s="13"/>
      <c r="F334" s="13"/>
      <c r="G334" s="10" t="str">
        <f aca="false">IF(AND(E334&lt;&gt;"",F334&lt;&gt;""),E334*F334,"")</f>
        <v/>
      </c>
      <c r="H334" s="13"/>
      <c r="I334" s="12"/>
    </row>
    <row r="335" customFormat="false" ht="15" hidden="false" customHeight="false" outlineLevel="0" collapsed="false">
      <c r="A335" s="11"/>
      <c r="B335" s="12"/>
      <c r="C335" s="12"/>
      <c r="D335" s="13"/>
      <c r="E335" s="13"/>
      <c r="F335" s="13"/>
      <c r="G335" s="10" t="str">
        <f aca="false">IF(AND(E335&lt;&gt;"",F335&lt;&gt;""),E335*F335,"")</f>
        <v/>
      </c>
      <c r="H335" s="13"/>
      <c r="I335" s="12"/>
    </row>
    <row r="336" customFormat="false" ht="15" hidden="false" customHeight="false" outlineLevel="0" collapsed="false">
      <c r="A336" s="11"/>
      <c r="B336" s="12"/>
      <c r="C336" s="12"/>
      <c r="D336" s="13"/>
      <c r="E336" s="13"/>
      <c r="F336" s="13"/>
      <c r="G336" s="10" t="str">
        <f aca="false">IF(AND(E336&lt;&gt;"",F336&lt;&gt;""),E336*F336,"")</f>
        <v/>
      </c>
      <c r="H336" s="13"/>
      <c r="I336" s="12"/>
    </row>
    <row r="337" customFormat="false" ht="15" hidden="false" customHeight="false" outlineLevel="0" collapsed="false">
      <c r="A337" s="11"/>
      <c r="B337" s="12"/>
      <c r="C337" s="12"/>
      <c r="D337" s="13"/>
      <c r="E337" s="13"/>
      <c r="F337" s="13"/>
      <c r="G337" s="10" t="str">
        <f aca="false">IF(AND(E337&lt;&gt;"",F337&lt;&gt;""),E337*F337,"")</f>
        <v/>
      </c>
      <c r="H337" s="13"/>
      <c r="I337" s="12"/>
    </row>
    <row r="338" customFormat="false" ht="15" hidden="false" customHeight="false" outlineLevel="0" collapsed="false">
      <c r="A338" s="11"/>
      <c r="B338" s="12"/>
      <c r="C338" s="12"/>
      <c r="D338" s="13"/>
      <c r="E338" s="13"/>
      <c r="F338" s="13"/>
      <c r="G338" s="10" t="str">
        <f aca="false">IF(AND(E338&lt;&gt;"",F338&lt;&gt;""),E338*F338,"")</f>
        <v/>
      </c>
      <c r="H338" s="13"/>
      <c r="I338" s="12"/>
    </row>
    <row r="339" customFormat="false" ht="15" hidden="false" customHeight="false" outlineLevel="0" collapsed="false">
      <c r="A339" s="11"/>
      <c r="B339" s="12"/>
      <c r="C339" s="12"/>
      <c r="D339" s="13"/>
      <c r="E339" s="13"/>
      <c r="F339" s="13"/>
      <c r="G339" s="10" t="str">
        <f aca="false">IF(AND(E339&lt;&gt;"",F339&lt;&gt;""),E339*F339,"")</f>
        <v/>
      </c>
      <c r="H339" s="13"/>
      <c r="I339" s="12"/>
    </row>
    <row r="340" customFormat="false" ht="15" hidden="false" customHeight="false" outlineLevel="0" collapsed="false">
      <c r="A340" s="11"/>
      <c r="B340" s="12"/>
      <c r="C340" s="12"/>
      <c r="D340" s="13"/>
      <c r="E340" s="13"/>
      <c r="F340" s="13"/>
      <c r="G340" s="10" t="str">
        <f aca="false">IF(AND(E340&lt;&gt;"",F340&lt;&gt;""),E340*F340,"")</f>
        <v/>
      </c>
      <c r="H340" s="13"/>
      <c r="I340" s="12"/>
    </row>
    <row r="341" customFormat="false" ht="15" hidden="false" customHeight="false" outlineLevel="0" collapsed="false">
      <c r="A341" s="11"/>
      <c r="B341" s="12"/>
      <c r="C341" s="12"/>
      <c r="D341" s="13"/>
      <c r="E341" s="13"/>
      <c r="F341" s="13"/>
      <c r="G341" s="10" t="str">
        <f aca="false">IF(AND(E341&lt;&gt;"",F341&lt;&gt;""),E341*F341,"")</f>
        <v/>
      </c>
      <c r="H341" s="13"/>
      <c r="I341" s="12"/>
    </row>
    <row r="342" customFormat="false" ht="15" hidden="false" customHeight="false" outlineLevel="0" collapsed="false">
      <c r="A342" s="11"/>
      <c r="B342" s="12"/>
      <c r="C342" s="12"/>
      <c r="D342" s="13"/>
      <c r="E342" s="13"/>
      <c r="F342" s="13"/>
      <c r="G342" s="10" t="str">
        <f aca="false">IF(AND(E342&lt;&gt;"",F342&lt;&gt;""),E342*F342,"")</f>
        <v/>
      </c>
      <c r="H342" s="13"/>
      <c r="I342" s="12"/>
    </row>
    <row r="343" customFormat="false" ht="15" hidden="false" customHeight="false" outlineLevel="0" collapsed="false">
      <c r="A343" s="11"/>
      <c r="B343" s="12"/>
      <c r="C343" s="12"/>
      <c r="D343" s="13"/>
      <c r="E343" s="13"/>
      <c r="F343" s="13"/>
      <c r="G343" s="10" t="str">
        <f aca="false">IF(AND(E343&lt;&gt;"",F343&lt;&gt;""),E343*F343,"")</f>
        <v/>
      </c>
      <c r="H343" s="13"/>
      <c r="I343" s="12"/>
    </row>
    <row r="344" customFormat="false" ht="15" hidden="false" customHeight="false" outlineLevel="0" collapsed="false">
      <c r="A344" s="11"/>
      <c r="B344" s="12"/>
      <c r="C344" s="12"/>
      <c r="D344" s="13"/>
      <c r="E344" s="13"/>
      <c r="F344" s="13"/>
      <c r="G344" s="10" t="str">
        <f aca="false">IF(AND(E344&lt;&gt;"",F344&lt;&gt;""),E344*F344,"")</f>
        <v/>
      </c>
      <c r="H344" s="13"/>
      <c r="I344" s="12"/>
    </row>
    <row r="345" customFormat="false" ht="15" hidden="false" customHeight="false" outlineLevel="0" collapsed="false">
      <c r="A345" s="11"/>
      <c r="B345" s="12"/>
      <c r="C345" s="12"/>
      <c r="D345" s="13"/>
      <c r="E345" s="13"/>
      <c r="F345" s="13"/>
      <c r="G345" s="10" t="str">
        <f aca="false">IF(AND(E345&lt;&gt;"",F345&lt;&gt;""),E345*F345,"")</f>
        <v/>
      </c>
      <c r="H345" s="13"/>
      <c r="I345" s="12"/>
    </row>
    <row r="346" customFormat="false" ht="15" hidden="false" customHeight="false" outlineLevel="0" collapsed="false">
      <c r="A346" s="11"/>
      <c r="B346" s="12"/>
      <c r="C346" s="12"/>
      <c r="D346" s="13"/>
      <c r="E346" s="13"/>
      <c r="F346" s="13"/>
      <c r="G346" s="10" t="str">
        <f aca="false">IF(AND(E346&lt;&gt;"",F346&lt;&gt;""),E346*F346,"")</f>
        <v/>
      </c>
      <c r="H346" s="13"/>
      <c r="I346" s="12"/>
    </row>
    <row r="347" customFormat="false" ht="15" hidden="false" customHeight="false" outlineLevel="0" collapsed="false">
      <c r="A347" s="11"/>
      <c r="B347" s="12"/>
      <c r="C347" s="12"/>
      <c r="D347" s="13"/>
      <c r="E347" s="13"/>
      <c r="F347" s="13"/>
      <c r="G347" s="10" t="str">
        <f aca="false">IF(AND(E347&lt;&gt;"",F347&lt;&gt;""),E347*F347,"")</f>
        <v/>
      </c>
      <c r="H347" s="13"/>
      <c r="I347" s="12"/>
    </row>
    <row r="348" customFormat="false" ht="15" hidden="false" customHeight="false" outlineLevel="0" collapsed="false">
      <c r="A348" s="11"/>
      <c r="B348" s="12"/>
      <c r="C348" s="12"/>
      <c r="D348" s="13"/>
      <c r="E348" s="13"/>
      <c r="F348" s="13"/>
      <c r="G348" s="10" t="str">
        <f aca="false">IF(AND(E348&lt;&gt;"",F348&lt;&gt;""),E348*F348,"")</f>
        <v/>
      </c>
      <c r="H348" s="13"/>
      <c r="I348" s="12"/>
    </row>
    <row r="349" customFormat="false" ht="15" hidden="false" customHeight="false" outlineLevel="0" collapsed="false">
      <c r="A349" s="11"/>
      <c r="B349" s="12"/>
      <c r="C349" s="12"/>
      <c r="D349" s="13"/>
      <c r="E349" s="13"/>
      <c r="F349" s="13"/>
      <c r="G349" s="10" t="str">
        <f aca="false">IF(AND(E349&lt;&gt;"",F349&lt;&gt;""),E349*F349,"")</f>
        <v/>
      </c>
      <c r="H349" s="13"/>
      <c r="I349" s="12"/>
    </row>
    <row r="350" customFormat="false" ht="15" hidden="false" customHeight="false" outlineLevel="0" collapsed="false">
      <c r="A350" s="11"/>
      <c r="B350" s="12"/>
      <c r="C350" s="12"/>
      <c r="D350" s="13"/>
      <c r="E350" s="13"/>
      <c r="F350" s="13"/>
      <c r="G350" s="10" t="str">
        <f aca="false">IF(AND(E350&lt;&gt;"",F350&lt;&gt;""),E350*F350,"")</f>
        <v/>
      </c>
      <c r="H350" s="13"/>
      <c r="I350" s="12"/>
    </row>
    <row r="351" customFormat="false" ht="15" hidden="false" customHeight="false" outlineLevel="0" collapsed="false">
      <c r="A351" s="11"/>
      <c r="B351" s="12"/>
      <c r="C351" s="12"/>
      <c r="D351" s="13"/>
      <c r="E351" s="13"/>
      <c r="F351" s="13"/>
      <c r="G351" s="10" t="str">
        <f aca="false">IF(AND(E351&lt;&gt;"",F351&lt;&gt;""),E351*F351,"")</f>
        <v/>
      </c>
      <c r="H351" s="13"/>
      <c r="I351" s="12"/>
    </row>
    <row r="352" customFormat="false" ht="15" hidden="false" customHeight="false" outlineLevel="0" collapsed="false">
      <c r="A352" s="11"/>
      <c r="B352" s="12"/>
      <c r="C352" s="12"/>
      <c r="D352" s="13"/>
      <c r="E352" s="13"/>
      <c r="F352" s="13"/>
      <c r="G352" s="10" t="str">
        <f aca="false">IF(AND(E352&lt;&gt;"",F352&lt;&gt;""),E352*F352,"")</f>
        <v/>
      </c>
      <c r="H352" s="13"/>
      <c r="I352" s="12"/>
    </row>
    <row r="353" customFormat="false" ht="15" hidden="false" customHeight="false" outlineLevel="0" collapsed="false">
      <c r="A353" s="11"/>
      <c r="B353" s="12"/>
      <c r="C353" s="12"/>
      <c r="D353" s="13"/>
      <c r="E353" s="13"/>
      <c r="F353" s="13"/>
      <c r="G353" s="10" t="str">
        <f aca="false">IF(AND(E353&lt;&gt;"",F353&lt;&gt;""),E353*F353,"")</f>
        <v/>
      </c>
      <c r="H353" s="13"/>
      <c r="I353" s="12"/>
    </row>
    <row r="354" customFormat="false" ht="15" hidden="false" customHeight="false" outlineLevel="0" collapsed="false">
      <c r="A354" s="11"/>
      <c r="B354" s="12"/>
      <c r="C354" s="12"/>
      <c r="D354" s="13"/>
      <c r="E354" s="13"/>
      <c r="F354" s="13"/>
      <c r="G354" s="10" t="str">
        <f aca="false">IF(AND(E354&lt;&gt;"",F354&lt;&gt;""),E354*F354,"")</f>
        <v/>
      </c>
      <c r="H354" s="13"/>
      <c r="I354" s="12"/>
    </row>
    <row r="355" customFormat="false" ht="15" hidden="false" customHeight="false" outlineLevel="0" collapsed="false">
      <c r="A355" s="11"/>
      <c r="B355" s="12"/>
      <c r="C355" s="12"/>
      <c r="D355" s="13"/>
      <c r="E355" s="13"/>
      <c r="F355" s="13"/>
      <c r="G355" s="10" t="str">
        <f aca="false">IF(AND(E355&lt;&gt;"",F355&lt;&gt;""),E355*F355,"")</f>
        <v/>
      </c>
      <c r="H355" s="13"/>
      <c r="I355" s="12"/>
    </row>
    <row r="356" customFormat="false" ht="15" hidden="false" customHeight="false" outlineLevel="0" collapsed="false">
      <c r="A356" s="11"/>
      <c r="B356" s="12"/>
      <c r="C356" s="12"/>
      <c r="D356" s="13"/>
      <c r="E356" s="13"/>
      <c r="F356" s="13"/>
      <c r="G356" s="10" t="str">
        <f aca="false">IF(AND(E356&lt;&gt;"",F356&lt;&gt;""),E356*F356,"")</f>
        <v/>
      </c>
      <c r="H356" s="13"/>
      <c r="I356" s="12"/>
    </row>
    <row r="357" customFormat="false" ht="15" hidden="false" customHeight="false" outlineLevel="0" collapsed="false">
      <c r="A357" s="11"/>
      <c r="B357" s="12"/>
      <c r="C357" s="12"/>
      <c r="D357" s="13"/>
      <c r="E357" s="13"/>
      <c r="F357" s="13"/>
      <c r="G357" s="10" t="str">
        <f aca="false">IF(AND(E357&lt;&gt;"",F357&lt;&gt;""),E357*F357,"")</f>
        <v/>
      </c>
      <c r="H357" s="13"/>
      <c r="I357" s="12"/>
    </row>
    <row r="358" customFormat="false" ht="15" hidden="false" customHeight="false" outlineLevel="0" collapsed="false">
      <c r="A358" s="11"/>
      <c r="B358" s="12"/>
      <c r="C358" s="12"/>
      <c r="D358" s="13"/>
      <c r="E358" s="13"/>
      <c r="F358" s="13"/>
      <c r="G358" s="10" t="str">
        <f aca="false">IF(AND(E358&lt;&gt;"",F358&lt;&gt;""),E358*F358,"")</f>
        <v/>
      </c>
      <c r="H358" s="13"/>
      <c r="I358" s="12"/>
    </row>
    <row r="359" customFormat="false" ht="15" hidden="false" customHeight="false" outlineLevel="0" collapsed="false">
      <c r="A359" s="11"/>
      <c r="B359" s="12"/>
      <c r="C359" s="12"/>
      <c r="D359" s="13"/>
      <c r="E359" s="13"/>
      <c r="F359" s="13"/>
      <c r="G359" s="10" t="str">
        <f aca="false">IF(AND(E359&lt;&gt;"",F359&lt;&gt;""),E359*F359,"")</f>
        <v/>
      </c>
      <c r="H359" s="13"/>
      <c r="I359" s="12"/>
    </row>
    <row r="360" customFormat="false" ht="15" hidden="false" customHeight="false" outlineLevel="0" collapsed="false">
      <c r="A360" s="11"/>
      <c r="B360" s="12"/>
      <c r="C360" s="12"/>
      <c r="D360" s="13"/>
      <c r="E360" s="13"/>
      <c r="F360" s="13"/>
      <c r="G360" s="10" t="str">
        <f aca="false">IF(AND(E360&lt;&gt;"",F360&lt;&gt;""),E360*F360,"")</f>
        <v/>
      </c>
      <c r="H360" s="13"/>
      <c r="I360" s="12"/>
    </row>
    <row r="361" customFormat="false" ht="15" hidden="false" customHeight="false" outlineLevel="0" collapsed="false">
      <c r="A361" s="11"/>
      <c r="B361" s="12"/>
      <c r="C361" s="12"/>
      <c r="D361" s="13"/>
      <c r="E361" s="13"/>
      <c r="F361" s="13"/>
      <c r="G361" s="10" t="str">
        <f aca="false">IF(AND(E361&lt;&gt;"",F361&lt;&gt;""),E361*F361,"")</f>
        <v/>
      </c>
      <c r="H361" s="13"/>
      <c r="I361" s="12"/>
    </row>
    <row r="362" customFormat="false" ht="15" hidden="false" customHeight="false" outlineLevel="0" collapsed="false">
      <c r="A362" s="11"/>
      <c r="B362" s="12"/>
      <c r="C362" s="12"/>
      <c r="D362" s="13"/>
      <c r="E362" s="13"/>
      <c r="F362" s="13"/>
      <c r="G362" s="10" t="str">
        <f aca="false">IF(AND(E362&lt;&gt;"",F362&lt;&gt;""),E362*F362,"")</f>
        <v/>
      </c>
      <c r="H362" s="13"/>
      <c r="I362" s="12"/>
    </row>
    <row r="363" customFormat="false" ht="15" hidden="false" customHeight="false" outlineLevel="0" collapsed="false">
      <c r="A363" s="11"/>
      <c r="B363" s="12"/>
      <c r="C363" s="12"/>
      <c r="D363" s="13"/>
      <c r="E363" s="13"/>
      <c r="F363" s="13"/>
      <c r="G363" s="10" t="str">
        <f aca="false">IF(AND(E363&lt;&gt;"",F363&lt;&gt;""),E363*F363,"")</f>
        <v/>
      </c>
      <c r="H363" s="13"/>
      <c r="I363" s="12"/>
    </row>
    <row r="364" customFormat="false" ht="15" hidden="false" customHeight="false" outlineLevel="0" collapsed="false">
      <c r="A364" s="11"/>
      <c r="B364" s="12"/>
      <c r="C364" s="12"/>
      <c r="D364" s="13"/>
      <c r="E364" s="13"/>
      <c r="F364" s="13"/>
      <c r="G364" s="10" t="str">
        <f aca="false">IF(AND(E364&lt;&gt;"",F364&lt;&gt;""),E364*F364,"")</f>
        <v/>
      </c>
      <c r="H364" s="13"/>
      <c r="I364" s="12"/>
    </row>
    <row r="365" customFormat="false" ht="15" hidden="false" customHeight="false" outlineLevel="0" collapsed="false">
      <c r="A365" s="11"/>
      <c r="B365" s="12"/>
      <c r="C365" s="12"/>
      <c r="D365" s="13"/>
      <c r="E365" s="13"/>
      <c r="F365" s="13"/>
      <c r="G365" s="10" t="str">
        <f aca="false">IF(AND(E365&lt;&gt;"",F365&lt;&gt;""),E365*F365,"")</f>
        <v/>
      </c>
      <c r="H365" s="13"/>
      <c r="I365" s="12"/>
    </row>
    <row r="366" customFormat="false" ht="15" hidden="false" customHeight="false" outlineLevel="0" collapsed="false">
      <c r="A366" s="11"/>
      <c r="B366" s="12"/>
      <c r="C366" s="12"/>
      <c r="D366" s="13"/>
      <c r="E366" s="13"/>
      <c r="F366" s="13"/>
      <c r="G366" s="10" t="str">
        <f aca="false">IF(AND(E366&lt;&gt;"",F366&lt;&gt;""),E366*F366,"")</f>
        <v/>
      </c>
      <c r="H366" s="13"/>
      <c r="I366" s="12"/>
    </row>
    <row r="367" customFormat="false" ht="15" hidden="false" customHeight="false" outlineLevel="0" collapsed="false">
      <c r="A367" s="11"/>
      <c r="B367" s="12"/>
      <c r="C367" s="12"/>
      <c r="D367" s="13"/>
      <c r="E367" s="13"/>
      <c r="F367" s="13"/>
      <c r="G367" s="10" t="str">
        <f aca="false">IF(AND(E367&lt;&gt;"",F367&lt;&gt;""),E367*F367,"")</f>
        <v/>
      </c>
      <c r="H367" s="13"/>
      <c r="I367" s="12"/>
    </row>
    <row r="368" customFormat="false" ht="15" hidden="false" customHeight="false" outlineLevel="0" collapsed="false">
      <c r="A368" s="11"/>
      <c r="B368" s="12"/>
      <c r="C368" s="12"/>
      <c r="D368" s="13"/>
      <c r="E368" s="13"/>
      <c r="F368" s="13"/>
      <c r="G368" s="10" t="str">
        <f aca="false">IF(AND(E368&lt;&gt;"",F368&lt;&gt;""),E368*F368,"")</f>
        <v/>
      </c>
      <c r="H368" s="13"/>
      <c r="I368" s="12"/>
    </row>
    <row r="369" customFormat="false" ht="15" hidden="false" customHeight="false" outlineLevel="0" collapsed="false">
      <c r="A369" s="11"/>
      <c r="B369" s="12"/>
      <c r="C369" s="12"/>
      <c r="D369" s="13"/>
      <c r="E369" s="13"/>
      <c r="F369" s="13"/>
      <c r="G369" s="10" t="str">
        <f aca="false">IF(AND(E369&lt;&gt;"",F369&lt;&gt;""),E369*F369,"")</f>
        <v/>
      </c>
      <c r="H369" s="13"/>
      <c r="I369" s="12"/>
    </row>
    <row r="370" customFormat="false" ht="15" hidden="false" customHeight="false" outlineLevel="0" collapsed="false">
      <c r="A370" s="11"/>
      <c r="B370" s="12"/>
      <c r="C370" s="12"/>
      <c r="D370" s="13"/>
      <c r="E370" s="13"/>
      <c r="F370" s="13"/>
      <c r="G370" s="10" t="str">
        <f aca="false">IF(AND(E370&lt;&gt;"",F370&lt;&gt;""),E370*F370,"")</f>
        <v/>
      </c>
      <c r="H370" s="13"/>
      <c r="I370" s="12"/>
    </row>
    <row r="371" customFormat="false" ht="15" hidden="false" customHeight="false" outlineLevel="0" collapsed="false">
      <c r="A371" s="11"/>
      <c r="B371" s="12"/>
      <c r="C371" s="12"/>
      <c r="D371" s="13"/>
      <c r="E371" s="13"/>
      <c r="F371" s="13"/>
      <c r="G371" s="10" t="str">
        <f aca="false">IF(AND(E371&lt;&gt;"",F371&lt;&gt;""),E371*F371,"")</f>
        <v/>
      </c>
      <c r="H371" s="13"/>
      <c r="I371" s="12"/>
    </row>
    <row r="372" customFormat="false" ht="15" hidden="false" customHeight="false" outlineLevel="0" collapsed="false">
      <c r="A372" s="11"/>
      <c r="B372" s="12"/>
      <c r="C372" s="12"/>
      <c r="D372" s="13"/>
      <c r="E372" s="13"/>
      <c r="F372" s="13"/>
      <c r="G372" s="10" t="str">
        <f aca="false">IF(AND(E372&lt;&gt;"",F372&lt;&gt;""),E372*F372,"")</f>
        <v/>
      </c>
      <c r="H372" s="13"/>
      <c r="I372" s="12"/>
    </row>
    <row r="373" customFormat="false" ht="15" hidden="false" customHeight="false" outlineLevel="0" collapsed="false">
      <c r="A373" s="11"/>
      <c r="B373" s="12"/>
      <c r="C373" s="12"/>
      <c r="D373" s="13"/>
      <c r="E373" s="13"/>
      <c r="F373" s="13"/>
      <c r="G373" s="10" t="str">
        <f aca="false">IF(AND(E373&lt;&gt;"",F373&lt;&gt;""),E373*F373,"")</f>
        <v/>
      </c>
      <c r="H373" s="13"/>
      <c r="I373" s="12"/>
    </row>
    <row r="374" customFormat="false" ht="15" hidden="false" customHeight="false" outlineLevel="0" collapsed="false">
      <c r="A374" s="11"/>
      <c r="B374" s="12"/>
      <c r="C374" s="12"/>
      <c r="D374" s="13"/>
      <c r="E374" s="13"/>
      <c r="F374" s="13"/>
      <c r="G374" s="10" t="str">
        <f aca="false">IF(AND(E374&lt;&gt;"",F374&lt;&gt;""),E374*F374,"")</f>
        <v/>
      </c>
      <c r="H374" s="13"/>
      <c r="I374" s="12"/>
    </row>
    <row r="375" customFormat="false" ht="15" hidden="false" customHeight="false" outlineLevel="0" collapsed="false">
      <c r="A375" s="11"/>
      <c r="B375" s="12"/>
      <c r="C375" s="12"/>
      <c r="D375" s="13"/>
      <c r="E375" s="13"/>
      <c r="F375" s="13"/>
      <c r="G375" s="10" t="str">
        <f aca="false">IF(AND(E375&lt;&gt;"",F375&lt;&gt;""),E375*F375,"")</f>
        <v/>
      </c>
      <c r="H375" s="13"/>
      <c r="I375" s="12"/>
    </row>
    <row r="376" customFormat="false" ht="15" hidden="false" customHeight="false" outlineLevel="0" collapsed="false">
      <c r="A376" s="11"/>
      <c r="B376" s="12"/>
      <c r="C376" s="12"/>
      <c r="D376" s="13"/>
      <c r="E376" s="13"/>
      <c r="F376" s="13"/>
      <c r="G376" s="10" t="str">
        <f aca="false">IF(AND(E376&lt;&gt;"",F376&lt;&gt;""),E376*F376,"")</f>
        <v/>
      </c>
      <c r="H376" s="13"/>
      <c r="I376" s="12"/>
    </row>
    <row r="377" customFormat="false" ht="15" hidden="false" customHeight="false" outlineLevel="0" collapsed="false">
      <c r="A377" s="11"/>
      <c r="B377" s="12"/>
      <c r="C377" s="12"/>
      <c r="D377" s="13"/>
      <c r="E377" s="13"/>
      <c r="F377" s="13"/>
      <c r="G377" s="10" t="str">
        <f aca="false">IF(AND(E377&lt;&gt;"",F377&lt;&gt;""),E377*F377,"")</f>
        <v/>
      </c>
      <c r="H377" s="13"/>
      <c r="I377" s="12"/>
    </row>
    <row r="378" customFormat="false" ht="15" hidden="false" customHeight="false" outlineLevel="0" collapsed="false">
      <c r="A378" s="11"/>
      <c r="B378" s="12"/>
      <c r="C378" s="12"/>
      <c r="D378" s="13"/>
      <c r="E378" s="13"/>
      <c r="F378" s="13"/>
      <c r="G378" s="10" t="str">
        <f aca="false">IF(AND(E378&lt;&gt;"",F378&lt;&gt;""),E378*F378,"")</f>
        <v/>
      </c>
      <c r="H378" s="13"/>
      <c r="I378" s="12"/>
    </row>
    <row r="379" customFormat="false" ht="15" hidden="false" customHeight="false" outlineLevel="0" collapsed="false">
      <c r="A379" s="11"/>
      <c r="B379" s="12"/>
      <c r="C379" s="12"/>
      <c r="D379" s="13"/>
      <c r="E379" s="13"/>
      <c r="F379" s="13"/>
      <c r="G379" s="10" t="str">
        <f aca="false">IF(AND(E379&lt;&gt;"",F379&lt;&gt;""),E379*F379,"")</f>
        <v/>
      </c>
      <c r="H379" s="13"/>
      <c r="I379" s="12"/>
    </row>
    <row r="380" customFormat="false" ht="15" hidden="false" customHeight="false" outlineLevel="0" collapsed="false">
      <c r="A380" s="11"/>
      <c r="B380" s="12"/>
      <c r="C380" s="12"/>
      <c r="D380" s="13"/>
      <c r="E380" s="13"/>
      <c r="F380" s="13"/>
      <c r="G380" s="10" t="str">
        <f aca="false">IF(AND(E380&lt;&gt;"",F380&lt;&gt;""),E380*F380,"")</f>
        <v/>
      </c>
      <c r="H380" s="13"/>
      <c r="I380" s="12"/>
    </row>
    <row r="381" customFormat="false" ht="15" hidden="false" customHeight="false" outlineLevel="0" collapsed="false">
      <c r="A381" s="11"/>
      <c r="B381" s="12"/>
      <c r="C381" s="12"/>
      <c r="D381" s="13"/>
      <c r="E381" s="13"/>
      <c r="F381" s="13"/>
      <c r="G381" s="10" t="str">
        <f aca="false">IF(AND(E381&lt;&gt;"",F381&lt;&gt;""),E381*F381,"")</f>
        <v/>
      </c>
      <c r="H381" s="13"/>
      <c r="I381" s="12"/>
    </row>
    <row r="382" customFormat="false" ht="15" hidden="false" customHeight="false" outlineLevel="0" collapsed="false">
      <c r="A382" s="11"/>
      <c r="B382" s="12"/>
      <c r="C382" s="12"/>
      <c r="D382" s="13"/>
      <c r="E382" s="13"/>
      <c r="F382" s="13"/>
      <c r="G382" s="10" t="str">
        <f aca="false">IF(AND(E382&lt;&gt;"",F382&lt;&gt;""),E382*F382,"")</f>
        <v/>
      </c>
      <c r="H382" s="13"/>
      <c r="I382" s="12"/>
    </row>
    <row r="383" customFormat="false" ht="15" hidden="false" customHeight="false" outlineLevel="0" collapsed="false">
      <c r="A383" s="11"/>
      <c r="B383" s="12"/>
      <c r="C383" s="12"/>
      <c r="D383" s="13"/>
      <c r="E383" s="13"/>
      <c r="F383" s="13"/>
      <c r="G383" s="10" t="str">
        <f aca="false">IF(AND(E383&lt;&gt;"",F383&lt;&gt;""),E383*F383,"")</f>
        <v/>
      </c>
      <c r="H383" s="13"/>
      <c r="I383" s="12"/>
    </row>
    <row r="384" customFormat="false" ht="15" hidden="false" customHeight="false" outlineLevel="0" collapsed="false">
      <c r="A384" s="11"/>
      <c r="B384" s="12"/>
      <c r="C384" s="12"/>
      <c r="D384" s="13"/>
      <c r="E384" s="13"/>
      <c r="F384" s="13"/>
      <c r="G384" s="10" t="str">
        <f aca="false">IF(AND(E384&lt;&gt;"",F384&lt;&gt;""),E384*F384,"")</f>
        <v/>
      </c>
      <c r="H384" s="13"/>
      <c r="I384" s="12"/>
    </row>
    <row r="385" customFormat="false" ht="15" hidden="false" customHeight="false" outlineLevel="0" collapsed="false">
      <c r="A385" s="11"/>
      <c r="B385" s="12"/>
      <c r="C385" s="12"/>
      <c r="D385" s="13"/>
      <c r="E385" s="13"/>
      <c r="F385" s="13"/>
      <c r="G385" s="10" t="str">
        <f aca="false">IF(AND(E385&lt;&gt;"",F385&lt;&gt;""),E385*F385,"")</f>
        <v/>
      </c>
      <c r="H385" s="13"/>
      <c r="I385" s="12"/>
    </row>
    <row r="386" customFormat="false" ht="15" hidden="false" customHeight="false" outlineLevel="0" collapsed="false">
      <c r="A386" s="11"/>
      <c r="B386" s="12"/>
      <c r="C386" s="12"/>
      <c r="D386" s="13"/>
      <c r="E386" s="13"/>
      <c r="F386" s="13"/>
      <c r="G386" s="10" t="str">
        <f aca="false">IF(AND(E386&lt;&gt;"",F386&lt;&gt;""),E386*F386,"")</f>
        <v/>
      </c>
      <c r="H386" s="13"/>
      <c r="I386" s="12"/>
    </row>
    <row r="387" customFormat="false" ht="15" hidden="false" customHeight="false" outlineLevel="0" collapsed="false">
      <c r="A387" s="11"/>
      <c r="B387" s="12"/>
      <c r="C387" s="12"/>
      <c r="D387" s="13"/>
      <c r="E387" s="13"/>
      <c r="F387" s="13"/>
      <c r="G387" s="10" t="str">
        <f aca="false">IF(AND(E387&lt;&gt;"",F387&lt;&gt;""),E387*F387,"")</f>
        <v/>
      </c>
      <c r="H387" s="13"/>
      <c r="I387" s="12"/>
    </row>
    <row r="388" customFormat="false" ht="15" hidden="false" customHeight="false" outlineLevel="0" collapsed="false">
      <c r="A388" s="11"/>
      <c r="B388" s="12"/>
      <c r="C388" s="12"/>
      <c r="D388" s="13"/>
      <c r="E388" s="13"/>
      <c r="F388" s="13"/>
      <c r="G388" s="10" t="str">
        <f aca="false">IF(AND(E388&lt;&gt;"",F388&lt;&gt;""),E388*F388,"")</f>
        <v/>
      </c>
      <c r="H388" s="13"/>
      <c r="I388" s="12"/>
    </row>
    <row r="389" customFormat="false" ht="15" hidden="false" customHeight="false" outlineLevel="0" collapsed="false">
      <c r="A389" s="11"/>
      <c r="B389" s="12"/>
      <c r="C389" s="12"/>
      <c r="D389" s="13"/>
      <c r="E389" s="13"/>
      <c r="F389" s="13"/>
      <c r="G389" s="10" t="str">
        <f aca="false">IF(AND(E389&lt;&gt;"",F389&lt;&gt;""),E389*F389,"")</f>
        <v/>
      </c>
      <c r="H389" s="13"/>
      <c r="I389" s="12"/>
    </row>
    <row r="390" customFormat="false" ht="15" hidden="false" customHeight="false" outlineLevel="0" collapsed="false">
      <c r="A390" s="11"/>
      <c r="B390" s="12"/>
      <c r="C390" s="12"/>
      <c r="D390" s="13"/>
      <c r="E390" s="13"/>
      <c r="F390" s="13"/>
      <c r="G390" s="10" t="str">
        <f aca="false">IF(AND(E390&lt;&gt;"",F390&lt;&gt;""),E390*F390,"")</f>
        <v/>
      </c>
      <c r="H390" s="13"/>
      <c r="I390" s="12"/>
    </row>
    <row r="391" customFormat="false" ht="15" hidden="false" customHeight="false" outlineLevel="0" collapsed="false">
      <c r="A391" s="11"/>
      <c r="B391" s="12"/>
      <c r="C391" s="12"/>
      <c r="D391" s="13"/>
      <c r="E391" s="13"/>
      <c r="F391" s="13"/>
      <c r="G391" s="10" t="str">
        <f aca="false">IF(AND(E391&lt;&gt;"",F391&lt;&gt;""),E391*F391,"")</f>
        <v/>
      </c>
      <c r="H391" s="13"/>
      <c r="I391" s="12"/>
    </row>
    <row r="392" customFormat="false" ht="15" hidden="false" customHeight="false" outlineLevel="0" collapsed="false">
      <c r="A392" s="11"/>
      <c r="B392" s="12"/>
      <c r="C392" s="12"/>
      <c r="D392" s="13"/>
      <c r="E392" s="13"/>
      <c r="F392" s="13"/>
      <c r="G392" s="10" t="str">
        <f aca="false">IF(AND(E392&lt;&gt;"",F392&lt;&gt;""),E392*F392,"")</f>
        <v/>
      </c>
      <c r="H392" s="13"/>
      <c r="I392" s="12"/>
    </row>
    <row r="393" customFormat="false" ht="15" hidden="false" customHeight="false" outlineLevel="0" collapsed="false">
      <c r="A393" s="11"/>
      <c r="B393" s="12"/>
      <c r="C393" s="12"/>
      <c r="D393" s="13"/>
      <c r="E393" s="13"/>
      <c r="F393" s="13"/>
      <c r="G393" s="10" t="str">
        <f aca="false">IF(AND(E393&lt;&gt;"",F393&lt;&gt;""),E393*F393,"")</f>
        <v/>
      </c>
      <c r="H393" s="13"/>
      <c r="I393" s="12"/>
    </row>
    <row r="394" customFormat="false" ht="15" hidden="false" customHeight="false" outlineLevel="0" collapsed="false">
      <c r="A394" s="11"/>
      <c r="B394" s="12"/>
      <c r="C394" s="12"/>
      <c r="D394" s="13"/>
      <c r="E394" s="13"/>
      <c r="F394" s="13"/>
      <c r="G394" s="10" t="str">
        <f aca="false">IF(AND(E394&lt;&gt;"",F394&lt;&gt;""),E394*F394,"")</f>
        <v/>
      </c>
      <c r="H394" s="13"/>
      <c r="I394" s="12"/>
    </row>
    <row r="395" customFormat="false" ht="15" hidden="false" customHeight="false" outlineLevel="0" collapsed="false">
      <c r="A395" s="11"/>
      <c r="B395" s="12"/>
      <c r="C395" s="12"/>
      <c r="D395" s="13"/>
      <c r="E395" s="13"/>
      <c r="F395" s="13"/>
      <c r="G395" s="10" t="str">
        <f aca="false">IF(AND(E395&lt;&gt;"",F395&lt;&gt;""),E395*F395,"")</f>
        <v/>
      </c>
      <c r="H395" s="13"/>
      <c r="I395" s="12"/>
    </row>
    <row r="396" customFormat="false" ht="15" hidden="false" customHeight="false" outlineLevel="0" collapsed="false">
      <c r="A396" s="11"/>
      <c r="B396" s="12"/>
      <c r="C396" s="12"/>
      <c r="D396" s="13"/>
      <c r="E396" s="13"/>
      <c r="F396" s="13"/>
      <c r="G396" s="10" t="str">
        <f aca="false">IF(AND(E396&lt;&gt;"",F396&lt;&gt;""),E396*F396,"")</f>
        <v/>
      </c>
      <c r="H396" s="13"/>
      <c r="I396" s="12"/>
    </row>
    <row r="397" customFormat="false" ht="15" hidden="false" customHeight="false" outlineLevel="0" collapsed="false">
      <c r="A397" s="11"/>
      <c r="B397" s="12"/>
      <c r="C397" s="12"/>
      <c r="D397" s="13"/>
      <c r="E397" s="13"/>
      <c r="F397" s="13"/>
      <c r="G397" s="10" t="str">
        <f aca="false">IF(AND(E397&lt;&gt;"",F397&lt;&gt;""),E397*F397,"")</f>
        <v/>
      </c>
      <c r="H397" s="13"/>
      <c r="I397" s="12"/>
    </row>
    <row r="398" customFormat="false" ht="15" hidden="false" customHeight="false" outlineLevel="0" collapsed="false">
      <c r="A398" s="11"/>
      <c r="B398" s="12"/>
      <c r="C398" s="12"/>
      <c r="D398" s="13"/>
      <c r="E398" s="13"/>
      <c r="F398" s="13"/>
      <c r="G398" s="10" t="str">
        <f aca="false">IF(AND(E398&lt;&gt;"",F398&lt;&gt;""),E398*F398,"")</f>
        <v/>
      </c>
      <c r="H398" s="13"/>
      <c r="I398" s="12"/>
    </row>
    <row r="399" customFormat="false" ht="15" hidden="false" customHeight="false" outlineLevel="0" collapsed="false">
      <c r="A399" s="11"/>
      <c r="B399" s="12"/>
      <c r="C399" s="12"/>
      <c r="D399" s="13"/>
      <c r="E399" s="13"/>
      <c r="F399" s="13"/>
      <c r="G399" s="10" t="str">
        <f aca="false">IF(AND(E399&lt;&gt;"",F399&lt;&gt;""),E399*F399,"")</f>
        <v/>
      </c>
      <c r="H399" s="13"/>
      <c r="I399" s="12"/>
    </row>
    <row r="400" customFormat="false" ht="15" hidden="false" customHeight="false" outlineLevel="0" collapsed="false">
      <c r="A400" s="11"/>
      <c r="B400" s="12"/>
      <c r="C400" s="12"/>
      <c r="D400" s="13"/>
      <c r="E400" s="13"/>
      <c r="F400" s="13"/>
      <c r="G400" s="10" t="str">
        <f aca="false">IF(AND(E400&lt;&gt;"",F400&lt;&gt;""),E400*F400,"")</f>
        <v/>
      </c>
      <c r="H400" s="13"/>
      <c r="I400" s="12"/>
    </row>
    <row r="401" customFormat="false" ht="15" hidden="false" customHeight="false" outlineLevel="0" collapsed="false">
      <c r="A401" s="11"/>
      <c r="B401" s="12"/>
      <c r="C401" s="12"/>
      <c r="D401" s="13"/>
      <c r="E401" s="13"/>
      <c r="F401" s="13"/>
      <c r="G401" s="10" t="str">
        <f aca="false">IF(AND(E401&lt;&gt;"",F401&lt;&gt;""),E401*F401,"")</f>
        <v/>
      </c>
      <c r="H401" s="13"/>
      <c r="I401" s="12"/>
    </row>
    <row r="402" customFormat="false" ht="15" hidden="false" customHeight="false" outlineLevel="0" collapsed="false">
      <c r="A402" s="11"/>
      <c r="B402" s="12"/>
      <c r="C402" s="12"/>
      <c r="D402" s="13"/>
      <c r="E402" s="13"/>
      <c r="F402" s="13"/>
      <c r="G402" s="10" t="str">
        <f aca="false">IF(AND(E402&lt;&gt;"",F402&lt;&gt;""),E402*F402,"")</f>
        <v/>
      </c>
      <c r="H402" s="13"/>
      <c r="I402" s="12"/>
    </row>
    <row r="403" customFormat="false" ht="15" hidden="false" customHeight="false" outlineLevel="0" collapsed="false">
      <c r="A403" s="11"/>
      <c r="B403" s="12"/>
      <c r="C403" s="12"/>
      <c r="D403" s="13"/>
      <c r="E403" s="13"/>
      <c r="F403" s="13"/>
      <c r="G403" s="10" t="str">
        <f aca="false">IF(AND(E403&lt;&gt;"",F403&lt;&gt;""),E403*F403,"")</f>
        <v/>
      </c>
      <c r="H403" s="13"/>
      <c r="I403" s="12"/>
    </row>
    <row r="404" customFormat="false" ht="15" hidden="false" customHeight="false" outlineLevel="0" collapsed="false">
      <c r="A404" s="11"/>
      <c r="B404" s="12"/>
      <c r="C404" s="12"/>
      <c r="D404" s="13"/>
      <c r="E404" s="13"/>
      <c r="F404" s="13"/>
      <c r="G404" s="10" t="str">
        <f aca="false">IF(AND(E404&lt;&gt;"",F404&lt;&gt;""),E404*F404,"")</f>
        <v/>
      </c>
      <c r="H404" s="13"/>
      <c r="I404" s="12"/>
    </row>
    <row r="405" customFormat="false" ht="15" hidden="false" customHeight="false" outlineLevel="0" collapsed="false">
      <c r="A405" s="11"/>
      <c r="B405" s="12"/>
      <c r="C405" s="12"/>
      <c r="D405" s="13"/>
      <c r="E405" s="13"/>
      <c r="F405" s="13"/>
      <c r="G405" s="10" t="str">
        <f aca="false">IF(AND(E405&lt;&gt;"",F405&lt;&gt;""),E405*F405,"")</f>
        <v/>
      </c>
      <c r="H405" s="13"/>
      <c r="I405" s="12"/>
    </row>
    <row r="406" customFormat="false" ht="15" hidden="false" customHeight="false" outlineLevel="0" collapsed="false">
      <c r="A406" s="11"/>
      <c r="B406" s="12"/>
      <c r="C406" s="12"/>
      <c r="D406" s="13"/>
      <c r="E406" s="13"/>
      <c r="F406" s="13"/>
      <c r="G406" s="10" t="str">
        <f aca="false">IF(AND(E406&lt;&gt;"",F406&lt;&gt;""),E406*F406,"")</f>
        <v/>
      </c>
      <c r="H406" s="13"/>
      <c r="I406" s="12"/>
    </row>
    <row r="407" customFormat="false" ht="15" hidden="false" customHeight="false" outlineLevel="0" collapsed="false">
      <c r="A407" s="11"/>
      <c r="B407" s="12"/>
      <c r="C407" s="12"/>
      <c r="D407" s="13"/>
      <c r="E407" s="13"/>
      <c r="F407" s="13"/>
      <c r="G407" s="10" t="str">
        <f aca="false">IF(AND(E407&lt;&gt;"",F407&lt;&gt;""),E407*F407,"")</f>
        <v/>
      </c>
      <c r="H407" s="13"/>
      <c r="I407" s="12"/>
    </row>
    <row r="408" customFormat="false" ht="15" hidden="false" customHeight="false" outlineLevel="0" collapsed="false">
      <c r="A408" s="11"/>
      <c r="B408" s="12"/>
      <c r="C408" s="12"/>
      <c r="D408" s="13"/>
      <c r="E408" s="13"/>
      <c r="F408" s="13"/>
      <c r="G408" s="10" t="str">
        <f aca="false">IF(AND(E408&lt;&gt;"",F408&lt;&gt;""),E408*F408,"")</f>
        <v/>
      </c>
      <c r="H408" s="13"/>
      <c r="I408" s="12"/>
    </row>
    <row r="409" customFormat="false" ht="15" hidden="false" customHeight="false" outlineLevel="0" collapsed="false">
      <c r="A409" s="11"/>
      <c r="B409" s="12"/>
      <c r="C409" s="12"/>
      <c r="D409" s="13"/>
      <c r="E409" s="13"/>
      <c r="F409" s="13"/>
      <c r="G409" s="10" t="str">
        <f aca="false">IF(AND(E409&lt;&gt;"",F409&lt;&gt;""),E409*F409,"")</f>
        <v/>
      </c>
      <c r="H409" s="13"/>
      <c r="I409" s="12"/>
    </row>
    <row r="410" customFormat="false" ht="15" hidden="false" customHeight="false" outlineLevel="0" collapsed="false">
      <c r="A410" s="11"/>
      <c r="B410" s="12"/>
      <c r="C410" s="12"/>
      <c r="D410" s="13"/>
      <c r="E410" s="13"/>
      <c r="F410" s="13"/>
      <c r="G410" s="10" t="str">
        <f aca="false">IF(AND(E410&lt;&gt;"",F410&lt;&gt;""),E410*F410,"")</f>
        <v/>
      </c>
      <c r="H410" s="13"/>
      <c r="I410" s="12"/>
    </row>
    <row r="411" customFormat="false" ht="15" hidden="false" customHeight="false" outlineLevel="0" collapsed="false">
      <c r="A411" s="11"/>
      <c r="B411" s="12"/>
      <c r="C411" s="12"/>
      <c r="D411" s="13"/>
      <c r="E411" s="13"/>
      <c r="F411" s="13"/>
      <c r="G411" s="10" t="str">
        <f aca="false">IF(AND(E411&lt;&gt;"",F411&lt;&gt;""),E411*F411,"")</f>
        <v/>
      </c>
      <c r="H411" s="13"/>
      <c r="I411" s="12"/>
    </row>
    <row r="412" customFormat="false" ht="15" hidden="false" customHeight="false" outlineLevel="0" collapsed="false">
      <c r="A412" s="11"/>
      <c r="B412" s="12"/>
      <c r="C412" s="12"/>
      <c r="D412" s="13"/>
      <c r="E412" s="13"/>
      <c r="F412" s="13"/>
      <c r="G412" s="10" t="str">
        <f aca="false">IF(AND(E412&lt;&gt;"",F412&lt;&gt;""),E412*F412,"")</f>
        <v/>
      </c>
      <c r="H412" s="13"/>
      <c r="I412" s="12"/>
    </row>
    <row r="413" customFormat="false" ht="15" hidden="false" customHeight="false" outlineLevel="0" collapsed="false">
      <c r="A413" s="11"/>
      <c r="B413" s="12"/>
      <c r="C413" s="12"/>
      <c r="D413" s="13"/>
      <c r="E413" s="13"/>
      <c r="F413" s="13"/>
      <c r="G413" s="10" t="str">
        <f aca="false">IF(AND(E413&lt;&gt;"",F413&lt;&gt;""),E413*F413,"")</f>
        <v/>
      </c>
      <c r="H413" s="13"/>
      <c r="I413" s="12"/>
    </row>
    <row r="414" customFormat="false" ht="15" hidden="false" customHeight="false" outlineLevel="0" collapsed="false">
      <c r="A414" s="11"/>
      <c r="B414" s="12"/>
      <c r="C414" s="12"/>
      <c r="D414" s="13"/>
      <c r="E414" s="13"/>
      <c r="F414" s="13"/>
      <c r="G414" s="10" t="str">
        <f aca="false">IF(AND(E414&lt;&gt;"",F414&lt;&gt;""),E414*F414,"")</f>
        <v/>
      </c>
      <c r="H414" s="13"/>
      <c r="I414" s="12"/>
    </row>
    <row r="415" customFormat="false" ht="15" hidden="false" customHeight="false" outlineLevel="0" collapsed="false">
      <c r="A415" s="11"/>
      <c r="B415" s="12"/>
      <c r="C415" s="12"/>
      <c r="D415" s="13"/>
      <c r="E415" s="13"/>
      <c r="F415" s="13"/>
      <c r="G415" s="10" t="str">
        <f aca="false">IF(AND(E415&lt;&gt;"",F415&lt;&gt;""),E415*F415,"")</f>
        <v/>
      </c>
      <c r="H415" s="13"/>
      <c r="I415" s="12"/>
    </row>
    <row r="416" customFormat="false" ht="15" hidden="false" customHeight="false" outlineLevel="0" collapsed="false">
      <c r="A416" s="11"/>
      <c r="B416" s="12"/>
      <c r="C416" s="12"/>
      <c r="D416" s="13"/>
      <c r="E416" s="13"/>
      <c r="F416" s="13"/>
      <c r="G416" s="10" t="str">
        <f aca="false">IF(AND(E416&lt;&gt;"",F416&lt;&gt;""),E416*F416,"")</f>
        <v/>
      </c>
      <c r="H416" s="13"/>
      <c r="I416" s="12"/>
    </row>
    <row r="417" customFormat="false" ht="15" hidden="false" customHeight="false" outlineLevel="0" collapsed="false">
      <c r="A417" s="11"/>
      <c r="B417" s="12"/>
      <c r="C417" s="12"/>
      <c r="D417" s="13"/>
      <c r="E417" s="13"/>
      <c r="F417" s="13"/>
      <c r="G417" s="10" t="str">
        <f aca="false">IF(AND(E417&lt;&gt;"",F417&lt;&gt;""),E417*F417,"")</f>
        <v/>
      </c>
      <c r="H417" s="13"/>
      <c r="I417" s="12"/>
    </row>
    <row r="418" customFormat="false" ht="15" hidden="false" customHeight="false" outlineLevel="0" collapsed="false">
      <c r="A418" s="11"/>
      <c r="B418" s="12"/>
      <c r="C418" s="12"/>
      <c r="D418" s="13"/>
      <c r="E418" s="13"/>
      <c r="F418" s="13"/>
      <c r="G418" s="10" t="str">
        <f aca="false">IF(AND(E418&lt;&gt;"",F418&lt;&gt;""),E418*F418,"")</f>
        <v/>
      </c>
      <c r="H418" s="13"/>
      <c r="I418" s="12"/>
    </row>
    <row r="419" customFormat="false" ht="15" hidden="false" customHeight="false" outlineLevel="0" collapsed="false">
      <c r="A419" s="11"/>
      <c r="B419" s="12"/>
      <c r="C419" s="12"/>
      <c r="D419" s="13"/>
      <c r="E419" s="13"/>
      <c r="F419" s="13"/>
      <c r="G419" s="10" t="str">
        <f aca="false">IF(AND(E419&lt;&gt;"",F419&lt;&gt;""),E419*F419,"")</f>
        <v/>
      </c>
      <c r="H419" s="13"/>
      <c r="I419" s="12"/>
    </row>
    <row r="420" customFormat="false" ht="15" hidden="false" customHeight="false" outlineLevel="0" collapsed="false">
      <c r="A420" s="11"/>
      <c r="B420" s="12"/>
      <c r="C420" s="12"/>
      <c r="D420" s="13"/>
      <c r="E420" s="13"/>
      <c r="F420" s="13"/>
      <c r="G420" s="10" t="str">
        <f aca="false">IF(AND(E420&lt;&gt;"",F420&lt;&gt;""),E420*F420,"")</f>
        <v/>
      </c>
      <c r="H420" s="13"/>
      <c r="I420" s="12"/>
    </row>
    <row r="421" customFormat="false" ht="15" hidden="false" customHeight="false" outlineLevel="0" collapsed="false">
      <c r="A421" s="11"/>
      <c r="B421" s="12"/>
      <c r="C421" s="12"/>
      <c r="D421" s="13"/>
      <c r="E421" s="13"/>
      <c r="F421" s="13"/>
      <c r="G421" s="10" t="str">
        <f aca="false">IF(AND(E421&lt;&gt;"",F421&lt;&gt;""),E421*F421,"")</f>
        <v/>
      </c>
      <c r="H421" s="13"/>
      <c r="I421" s="12"/>
    </row>
    <row r="422" customFormat="false" ht="15" hidden="false" customHeight="false" outlineLevel="0" collapsed="false">
      <c r="A422" s="11"/>
      <c r="B422" s="12"/>
      <c r="C422" s="12"/>
      <c r="D422" s="13"/>
      <c r="E422" s="13"/>
      <c r="F422" s="13"/>
      <c r="G422" s="10" t="str">
        <f aca="false">IF(AND(E422&lt;&gt;"",F422&lt;&gt;""),E422*F422,"")</f>
        <v/>
      </c>
      <c r="H422" s="13"/>
      <c r="I422" s="12"/>
    </row>
    <row r="423" customFormat="false" ht="15" hidden="false" customHeight="false" outlineLevel="0" collapsed="false">
      <c r="A423" s="11"/>
      <c r="B423" s="12"/>
      <c r="C423" s="12"/>
      <c r="D423" s="13"/>
      <c r="E423" s="13"/>
      <c r="F423" s="13"/>
      <c r="G423" s="10" t="str">
        <f aca="false">IF(AND(E423&lt;&gt;"",F423&lt;&gt;""),E423*F423,"")</f>
        <v/>
      </c>
      <c r="H423" s="13"/>
      <c r="I423" s="12"/>
    </row>
    <row r="424" customFormat="false" ht="15" hidden="false" customHeight="false" outlineLevel="0" collapsed="false">
      <c r="A424" s="11"/>
      <c r="B424" s="12"/>
      <c r="C424" s="12"/>
      <c r="D424" s="13"/>
      <c r="E424" s="13"/>
      <c r="F424" s="13"/>
      <c r="G424" s="10" t="str">
        <f aca="false">IF(AND(E424&lt;&gt;"",F424&lt;&gt;""),E424*F424,"")</f>
        <v/>
      </c>
      <c r="H424" s="13"/>
      <c r="I424" s="12"/>
    </row>
    <row r="425" customFormat="false" ht="15" hidden="false" customHeight="false" outlineLevel="0" collapsed="false">
      <c r="A425" s="11"/>
      <c r="B425" s="12"/>
      <c r="C425" s="12"/>
      <c r="D425" s="13"/>
      <c r="E425" s="13"/>
      <c r="F425" s="13"/>
      <c r="G425" s="10" t="str">
        <f aca="false">IF(AND(E425&lt;&gt;"",F425&lt;&gt;""),E425*F425,"")</f>
        <v/>
      </c>
      <c r="H425" s="13"/>
      <c r="I425" s="12"/>
    </row>
    <row r="426" customFormat="false" ht="15" hidden="false" customHeight="false" outlineLevel="0" collapsed="false">
      <c r="A426" s="11"/>
      <c r="B426" s="12"/>
      <c r="C426" s="12"/>
      <c r="D426" s="13"/>
      <c r="E426" s="13"/>
      <c r="F426" s="13"/>
      <c r="G426" s="10" t="str">
        <f aca="false">IF(AND(E426&lt;&gt;"",F426&lt;&gt;""),E426*F426,"")</f>
        <v/>
      </c>
      <c r="H426" s="13"/>
      <c r="I426" s="12"/>
    </row>
    <row r="427" customFormat="false" ht="15" hidden="false" customHeight="false" outlineLevel="0" collapsed="false">
      <c r="A427" s="11"/>
      <c r="B427" s="12"/>
      <c r="C427" s="12"/>
      <c r="D427" s="13"/>
      <c r="E427" s="13"/>
      <c r="F427" s="13"/>
      <c r="G427" s="10" t="str">
        <f aca="false">IF(AND(E427&lt;&gt;"",F427&lt;&gt;""),E427*F427,"")</f>
        <v/>
      </c>
      <c r="H427" s="13"/>
      <c r="I427" s="12"/>
    </row>
    <row r="428" customFormat="false" ht="15" hidden="false" customHeight="false" outlineLevel="0" collapsed="false">
      <c r="A428" s="11"/>
      <c r="B428" s="12"/>
      <c r="C428" s="12"/>
      <c r="D428" s="13"/>
      <c r="E428" s="13"/>
      <c r="F428" s="13"/>
      <c r="G428" s="10" t="str">
        <f aca="false">IF(AND(E428&lt;&gt;"",F428&lt;&gt;""),E428*F428,"")</f>
        <v/>
      </c>
      <c r="H428" s="13"/>
      <c r="I428" s="12"/>
    </row>
    <row r="429" customFormat="false" ht="15" hidden="false" customHeight="false" outlineLevel="0" collapsed="false">
      <c r="A429" s="11"/>
      <c r="B429" s="12"/>
      <c r="C429" s="12"/>
      <c r="D429" s="13"/>
      <c r="E429" s="13"/>
      <c r="F429" s="13"/>
      <c r="G429" s="10" t="str">
        <f aca="false">IF(AND(E429&lt;&gt;"",F429&lt;&gt;""),E429*F429,"")</f>
        <v/>
      </c>
      <c r="H429" s="13"/>
      <c r="I429" s="12"/>
    </row>
    <row r="430" customFormat="false" ht="15" hidden="false" customHeight="false" outlineLevel="0" collapsed="false">
      <c r="A430" s="11"/>
      <c r="B430" s="12"/>
      <c r="C430" s="12"/>
      <c r="D430" s="13"/>
      <c r="E430" s="13"/>
      <c r="F430" s="13"/>
      <c r="G430" s="10" t="str">
        <f aca="false">IF(AND(E430&lt;&gt;"",F430&lt;&gt;""),E430*F430,"")</f>
        <v/>
      </c>
      <c r="H430" s="13"/>
      <c r="I430" s="12"/>
    </row>
    <row r="431" customFormat="false" ht="15" hidden="false" customHeight="false" outlineLevel="0" collapsed="false">
      <c r="A431" s="11"/>
      <c r="B431" s="12"/>
      <c r="C431" s="12"/>
      <c r="D431" s="13"/>
      <c r="E431" s="13"/>
      <c r="F431" s="13"/>
      <c r="G431" s="10" t="str">
        <f aca="false">IF(AND(E431&lt;&gt;"",F431&lt;&gt;""),E431*F431,"")</f>
        <v/>
      </c>
      <c r="H431" s="13"/>
      <c r="I431" s="12"/>
    </row>
    <row r="432" customFormat="false" ht="15" hidden="false" customHeight="false" outlineLevel="0" collapsed="false">
      <c r="A432" s="11"/>
      <c r="B432" s="12"/>
      <c r="C432" s="12"/>
      <c r="D432" s="13"/>
      <c r="E432" s="13"/>
      <c r="F432" s="13"/>
      <c r="G432" s="10" t="str">
        <f aca="false">IF(AND(E432&lt;&gt;"",F432&lt;&gt;""),E432*F432,"")</f>
        <v/>
      </c>
      <c r="H432" s="13"/>
      <c r="I432" s="12"/>
    </row>
    <row r="433" customFormat="false" ht="15" hidden="false" customHeight="false" outlineLevel="0" collapsed="false">
      <c r="A433" s="11"/>
      <c r="B433" s="12"/>
      <c r="C433" s="12"/>
      <c r="D433" s="13"/>
      <c r="E433" s="13"/>
      <c r="F433" s="13"/>
      <c r="G433" s="10" t="str">
        <f aca="false">IF(AND(E433&lt;&gt;"",F433&lt;&gt;""),E433*F433,"")</f>
        <v/>
      </c>
      <c r="H433" s="13"/>
      <c r="I433" s="12"/>
    </row>
    <row r="434" customFormat="false" ht="15" hidden="false" customHeight="false" outlineLevel="0" collapsed="false">
      <c r="A434" s="11"/>
      <c r="B434" s="12"/>
      <c r="C434" s="12"/>
      <c r="D434" s="13"/>
      <c r="E434" s="13"/>
      <c r="F434" s="13"/>
      <c r="G434" s="10" t="str">
        <f aca="false">IF(AND(E434&lt;&gt;"",F434&lt;&gt;""),E434*F434,"")</f>
        <v/>
      </c>
      <c r="H434" s="13"/>
      <c r="I434" s="12"/>
    </row>
    <row r="435" customFormat="false" ht="15" hidden="false" customHeight="false" outlineLevel="0" collapsed="false">
      <c r="A435" s="11"/>
      <c r="B435" s="12"/>
      <c r="C435" s="12"/>
      <c r="D435" s="13"/>
      <c r="E435" s="13"/>
      <c r="F435" s="13"/>
      <c r="G435" s="10" t="str">
        <f aca="false">IF(AND(E435&lt;&gt;"",F435&lt;&gt;""),E435*F435,"")</f>
        <v/>
      </c>
      <c r="H435" s="13"/>
      <c r="I435" s="12"/>
    </row>
    <row r="436" customFormat="false" ht="15" hidden="false" customHeight="false" outlineLevel="0" collapsed="false">
      <c r="A436" s="11"/>
      <c r="B436" s="12"/>
      <c r="C436" s="12"/>
      <c r="D436" s="13"/>
      <c r="E436" s="13"/>
      <c r="F436" s="13"/>
      <c r="G436" s="10" t="str">
        <f aca="false">IF(AND(E436&lt;&gt;"",F436&lt;&gt;""),E436*F436,"")</f>
        <v/>
      </c>
      <c r="H436" s="13"/>
      <c r="I436" s="12"/>
    </row>
    <row r="437" customFormat="false" ht="15" hidden="false" customHeight="false" outlineLevel="0" collapsed="false">
      <c r="A437" s="11"/>
      <c r="B437" s="12"/>
      <c r="C437" s="12"/>
      <c r="D437" s="13"/>
      <c r="E437" s="13"/>
      <c r="F437" s="13"/>
      <c r="G437" s="10" t="str">
        <f aca="false">IF(AND(E437&lt;&gt;"",F437&lt;&gt;""),E437*F437,"")</f>
        <v/>
      </c>
      <c r="H437" s="13"/>
      <c r="I437" s="12"/>
    </row>
    <row r="438" customFormat="false" ht="15" hidden="false" customHeight="false" outlineLevel="0" collapsed="false">
      <c r="A438" s="11"/>
      <c r="B438" s="12"/>
      <c r="C438" s="12"/>
      <c r="D438" s="13"/>
      <c r="E438" s="13"/>
      <c r="F438" s="13"/>
      <c r="G438" s="10" t="str">
        <f aca="false">IF(AND(E438&lt;&gt;"",F438&lt;&gt;""),E438*F438,"")</f>
        <v/>
      </c>
      <c r="H438" s="13"/>
      <c r="I438" s="12"/>
    </row>
    <row r="439" customFormat="false" ht="15" hidden="false" customHeight="false" outlineLevel="0" collapsed="false">
      <c r="A439" s="11"/>
      <c r="B439" s="12"/>
      <c r="C439" s="12"/>
      <c r="D439" s="13"/>
      <c r="E439" s="13"/>
      <c r="F439" s="13"/>
      <c r="G439" s="10" t="str">
        <f aca="false">IF(AND(E439&lt;&gt;"",F439&lt;&gt;""),E439*F439,"")</f>
        <v/>
      </c>
      <c r="H439" s="13"/>
      <c r="I439" s="12"/>
    </row>
    <row r="440" customFormat="false" ht="15" hidden="false" customHeight="false" outlineLevel="0" collapsed="false">
      <c r="A440" s="11"/>
      <c r="B440" s="12"/>
      <c r="C440" s="12"/>
      <c r="D440" s="13"/>
      <c r="E440" s="13"/>
      <c r="F440" s="13"/>
      <c r="G440" s="10" t="str">
        <f aca="false">IF(AND(E440&lt;&gt;"",F440&lt;&gt;""),E440*F440,"")</f>
        <v/>
      </c>
      <c r="H440" s="13"/>
      <c r="I440" s="12"/>
    </row>
    <row r="441" customFormat="false" ht="15" hidden="false" customHeight="false" outlineLevel="0" collapsed="false">
      <c r="A441" s="11"/>
      <c r="B441" s="12"/>
      <c r="C441" s="12"/>
      <c r="D441" s="13"/>
      <c r="E441" s="13"/>
      <c r="F441" s="13"/>
      <c r="G441" s="10" t="str">
        <f aca="false">IF(AND(E441&lt;&gt;"",F441&lt;&gt;""),E441*F441,"")</f>
        <v/>
      </c>
      <c r="H441" s="13"/>
      <c r="I441" s="12"/>
    </row>
    <row r="442" customFormat="false" ht="15" hidden="false" customHeight="false" outlineLevel="0" collapsed="false">
      <c r="A442" s="11"/>
      <c r="B442" s="12"/>
      <c r="C442" s="12"/>
      <c r="D442" s="13"/>
      <c r="E442" s="13"/>
      <c r="F442" s="13"/>
      <c r="G442" s="10" t="str">
        <f aca="false">IF(AND(E442&lt;&gt;"",F442&lt;&gt;""),E442*F442,"")</f>
        <v/>
      </c>
      <c r="H442" s="13"/>
      <c r="I442" s="12"/>
    </row>
    <row r="443" customFormat="false" ht="15" hidden="false" customHeight="false" outlineLevel="0" collapsed="false">
      <c r="A443" s="11"/>
      <c r="B443" s="12"/>
      <c r="C443" s="12"/>
      <c r="D443" s="13"/>
      <c r="E443" s="13"/>
      <c r="F443" s="13"/>
      <c r="G443" s="10" t="str">
        <f aca="false">IF(AND(E443&lt;&gt;"",F443&lt;&gt;""),E443*F443,"")</f>
        <v/>
      </c>
      <c r="H443" s="13"/>
      <c r="I443" s="12"/>
    </row>
    <row r="444" customFormat="false" ht="15" hidden="false" customHeight="false" outlineLevel="0" collapsed="false">
      <c r="A444" s="11"/>
      <c r="B444" s="12"/>
      <c r="C444" s="12"/>
      <c r="D444" s="13"/>
      <c r="E444" s="13"/>
      <c r="F444" s="13"/>
      <c r="G444" s="10" t="str">
        <f aca="false">IF(AND(E444&lt;&gt;"",F444&lt;&gt;""),E444*F444,"")</f>
        <v/>
      </c>
      <c r="H444" s="13"/>
      <c r="I444" s="12"/>
    </row>
    <row r="445" customFormat="false" ht="15" hidden="false" customHeight="false" outlineLevel="0" collapsed="false">
      <c r="A445" s="11"/>
      <c r="B445" s="12"/>
      <c r="C445" s="12"/>
      <c r="D445" s="13"/>
      <c r="E445" s="13"/>
      <c r="F445" s="13"/>
      <c r="G445" s="10" t="str">
        <f aca="false">IF(AND(E445&lt;&gt;"",F445&lt;&gt;""),E445*F445,"")</f>
        <v/>
      </c>
      <c r="H445" s="13"/>
      <c r="I445" s="12"/>
    </row>
    <row r="446" customFormat="false" ht="15" hidden="false" customHeight="false" outlineLevel="0" collapsed="false">
      <c r="A446" s="11"/>
      <c r="B446" s="12"/>
      <c r="C446" s="12"/>
      <c r="D446" s="13"/>
      <c r="E446" s="13"/>
      <c r="F446" s="13"/>
      <c r="G446" s="10" t="str">
        <f aca="false">IF(AND(E446&lt;&gt;"",F446&lt;&gt;""),E446*F446,"")</f>
        <v/>
      </c>
      <c r="H446" s="13"/>
      <c r="I446" s="12"/>
    </row>
    <row r="447" customFormat="false" ht="15" hidden="false" customHeight="false" outlineLevel="0" collapsed="false">
      <c r="A447" s="11"/>
      <c r="B447" s="12"/>
      <c r="C447" s="12"/>
      <c r="D447" s="13"/>
      <c r="E447" s="13"/>
      <c r="F447" s="13"/>
      <c r="G447" s="10" t="str">
        <f aca="false">IF(AND(E447&lt;&gt;"",F447&lt;&gt;""),E447*F447,"")</f>
        <v/>
      </c>
      <c r="H447" s="13"/>
      <c r="I447" s="12"/>
    </row>
    <row r="448" customFormat="false" ht="15" hidden="false" customHeight="false" outlineLevel="0" collapsed="false">
      <c r="A448" s="11"/>
      <c r="B448" s="12"/>
      <c r="C448" s="12"/>
      <c r="D448" s="13"/>
      <c r="E448" s="13"/>
      <c r="F448" s="13"/>
      <c r="G448" s="10" t="str">
        <f aca="false">IF(AND(E448&lt;&gt;"",F448&lt;&gt;""),E448*F448,"")</f>
        <v/>
      </c>
      <c r="H448" s="13"/>
      <c r="I448" s="12"/>
    </row>
    <row r="449" customFormat="false" ht="15" hidden="false" customHeight="false" outlineLevel="0" collapsed="false">
      <c r="A449" s="11"/>
      <c r="B449" s="12"/>
      <c r="C449" s="12"/>
      <c r="D449" s="13"/>
      <c r="E449" s="13"/>
      <c r="F449" s="13"/>
      <c r="G449" s="10" t="str">
        <f aca="false">IF(AND(E449&lt;&gt;"",F449&lt;&gt;""),E449*F449,"")</f>
        <v/>
      </c>
      <c r="H449" s="13"/>
      <c r="I449" s="12"/>
    </row>
    <row r="450" customFormat="false" ht="15" hidden="false" customHeight="false" outlineLevel="0" collapsed="false">
      <c r="A450" s="11"/>
      <c r="B450" s="12"/>
      <c r="C450" s="12"/>
      <c r="D450" s="13"/>
      <c r="E450" s="13"/>
      <c r="F450" s="13"/>
      <c r="G450" s="10" t="str">
        <f aca="false">IF(AND(E450&lt;&gt;"",F450&lt;&gt;""),E450*F450,"")</f>
        <v/>
      </c>
      <c r="H450" s="13"/>
      <c r="I450" s="12"/>
    </row>
    <row r="451" customFormat="false" ht="15" hidden="false" customHeight="false" outlineLevel="0" collapsed="false">
      <c r="A451" s="11"/>
      <c r="B451" s="12"/>
      <c r="C451" s="12"/>
      <c r="D451" s="13"/>
      <c r="E451" s="13"/>
      <c r="F451" s="13"/>
      <c r="G451" s="10" t="str">
        <f aca="false">IF(AND(E451&lt;&gt;"",F451&lt;&gt;""),E451*F451,"")</f>
        <v/>
      </c>
      <c r="H451" s="13"/>
      <c r="I451" s="12"/>
    </row>
    <row r="452" customFormat="false" ht="15" hidden="false" customHeight="false" outlineLevel="0" collapsed="false">
      <c r="A452" s="11"/>
      <c r="B452" s="12"/>
      <c r="C452" s="12"/>
      <c r="D452" s="13"/>
      <c r="E452" s="13"/>
      <c r="F452" s="13"/>
      <c r="G452" s="10" t="str">
        <f aca="false">IF(AND(E452&lt;&gt;"",F452&lt;&gt;""),E452*F452,"")</f>
        <v/>
      </c>
      <c r="H452" s="13"/>
      <c r="I452" s="12"/>
    </row>
    <row r="453" customFormat="false" ht="15" hidden="false" customHeight="false" outlineLevel="0" collapsed="false">
      <c r="A453" s="11"/>
      <c r="B453" s="12"/>
      <c r="C453" s="12"/>
      <c r="D453" s="13"/>
      <c r="E453" s="13"/>
      <c r="F453" s="13"/>
      <c r="G453" s="10" t="str">
        <f aca="false">IF(AND(E453&lt;&gt;"",F453&lt;&gt;""),E453*F453,"")</f>
        <v/>
      </c>
      <c r="H453" s="13"/>
      <c r="I453" s="12"/>
    </row>
    <row r="454" customFormat="false" ht="15" hidden="false" customHeight="false" outlineLevel="0" collapsed="false">
      <c r="A454" s="11"/>
      <c r="B454" s="12"/>
      <c r="C454" s="12"/>
      <c r="D454" s="13"/>
      <c r="E454" s="13"/>
      <c r="F454" s="13"/>
      <c r="G454" s="10" t="str">
        <f aca="false">IF(AND(E454&lt;&gt;"",F454&lt;&gt;""),E454*F454,"")</f>
        <v/>
      </c>
      <c r="H454" s="13"/>
      <c r="I454" s="12"/>
    </row>
    <row r="455" customFormat="false" ht="15" hidden="false" customHeight="false" outlineLevel="0" collapsed="false">
      <c r="A455" s="11"/>
      <c r="B455" s="12"/>
      <c r="C455" s="12"/>
      <c r="D455" s="13"/>
      <c r="E455" s="13"/>
      <c r="F455" s="13"/>
      <c r="G455" s="10" t="str">
        <f aca="false">IF(AND(E455&lt;&gt;"",F455&lt;&gt;""),E455*F455,"")</f>
        <v/>
      </c>
      <c r="H455" s="13"/>
      <c r="I455" s="12"/>
    </row>
    <row r="456" customFormat="false" ht="15" hidden="false" customHeight="false" outlineLevel="0" collapsed="false">
      <c r="A456" s="11"/>
      <c r="B456" s="12"/>
      <c r="C456" s="12"/>
      <c r="D456" s="13"/>
      <c r="E456" s="13"/>
      <c r="F456" s="13"/>
      <c r="G456" s="10" t="str">
        <f aca="false">IF(AND(E456&lt;&gt;"",F456&lt;&gt;""),E456*F456,"")</f>
        <v/>
      </c>
      <c r="H456" s="13"/>
      <c r="I456" s="12"/>
    </row>
    <row r="457" customFormat="false" ht="15" hidden="false" customHeight="false" outlineLevel="0" collapsed="false">
      <c r="A457" s="11"/>
      <c r="B457" s="12"/>
      <c r="C457" s="12"/>
      <c r="D457" s="13"/>
      <c r="E457" s="13"/>
      <c r="F457" s="13"/>
      <c r="G457" s="10" t="str">
        <f aca="false">IF(AND(E457&lt;&gt;"",F457&lt;&gt;""),E457*F457,"")</f>
        <v/>
      </c>
      <c r="H457" s="13"/>
      <c r="I457" s="12"/>
    </row>
    <row r="458" customFormat="false" ht="15" hidden="false" customHeight="false" outlineLevel="0" collapsed="false">
      <c r="A458" s="11"/>
      <c r="B458" s="12"/>
      <c r="C458" s="12"/>
      <c r="D458" s="13"/>
      <c r="E458" s="13"/>
      <c r="F458" s="13"/>
      <c r="G458" s="10" t="str">
        <f aca="false">IF(AND(E458&lt;&gt;"",F458&lt;&gt;""),E458*F458,"")</f>
        <v/>
      </c>
      <c r="H458" s="13"/>
      <c r="I458" s="12"/>
    </row>
    <row r="459" customFormat="false" ht="15" hidden="false" customHeight="false" outlineLevel="0" collapsed="false">
      <c r="A459" s="11"/>
      <c r="B459" s="12"/>
      <c r="C459" s="12"/>
      <c r="D459" s="13"/>
      <c r="E459" s="13"/>
      <c r="F459" s="13"/>
      <c r="G459" s="10" t="str">
        <f aca="false">IF(AND(E459&lt;&gt;"",F459&lt;&gt;""),E459*F459,"")</f>
        <v/>
      </c>
      <c r="H459" s="13"/>
      <c r="I459" s="12"/>
    </row>
    <row r="460" customFormat="false" ht="15" hidden="false" customHeight="false" outlineLevel="0" collapsed="false">
      <c r="A460" s="11"/>
      <c r="B460" s="12"/>
      <c r="C460" s="12"/>
      <c r="D460" s="13"/>
      <c r="E460" s="13"/>
      <c r="F460" s="13"/>
      <c r="G460" s="10" t="str">
        <f aca="false">IF(AND(E460&lt;&gt;"",F460&lt;&gt;""),E460*F460,"")</f>
        <v/>
      </c>
      <c r="H460" s="13"/>
      <c r="I460" s="12"/>
    </row>
    <row r="461" customFormat="false" ht="15" hidden="false" customHeight="false" outlineLevel="0" collapsed="false">
      <c r="A461" s="11"/>
      <c r="B461" s="12"/>
      <c r="C461" s="12"/>
      <c r="D461" s="13"/>
      <c r="E461" s="13"/>
      <c r="F461" s="13"/>
      <c r="G461" s="10" t="str">
        <f aca="false">IF(AND(E461&lt;&gt;"",F461&lt;&gt;""),E461*F461,"")</f>
        <v/>
      </c>
      <c r="H461" s="13"/>
      <c r="I461" s="12"/>
    </row>
    <row r="462" customFormat="false" ht="15" hidden="false" customHeight="false" outlineLevel="0" collapsed="false">
      <c r="A462" s="11"/>
      <c r="B462" s="12"/>
      <c r="C462" s="12"/>
      <c r="D462" s="13"/>
      <c r="E462" s="13"/>
      <c r="F462" s="13"/>
      <c r="G462" s="10" t="str">
        <f aca="false">IF(AND(E462&lt;&gt;"",F462&lt;&gt;""),E462*F462,"")</f>
        <v/>
      </c>
      <c r="H462" s="13"/>
      <c r="I462" s="12"/>
    </row>
    <row r="463" customFormat="false" ht="15" hidden="false" customHeight="false" outlineLevel="0" collapsed="false">
      <c r="A463" s="11"/>
      <c r="B463" s="12"/>
      <c r="C463" s="12"/>
      <c r="D463" s="13"/>
      <c r="E463" s="13"/>
      <c r="F463" s="13"/>
      <c r="G463" s="10" t="str">
        <f aca="false">IF(AND(E463&lt;&gt;"",F463&lt;&gt;""),E463*F463,"")</f>
        <v/>
      </c>
      <c r="H463" s="13"/>
      <c r="I463" s="12"/>
    </row>
    <row r="464" customFormat="false" ht="15" hidden="false" customHeight="false" outlineLevel="0" collapsed="false">
      <c r="A464" s="11"/>
      <c r="B464" s="12"/>
      <c r="C464" s="12"/>
      <c r="D464" s="13"/>
      <c r="E464" s="13"/>
      <c r="F464" s="13"/>
      <c r="G464" s="10" t="str">
        <f aca="false">IF(AND(E464&lt;&gt;"",F464&lt;&gt;""),E464*F464,"")</f>
        <v/>
      </c>
      <c r="H464" s="13"/>
      <c r="I464" s="12"/>
    </row>
    <row r="465" customFormat="false" ht="15" hidden="false" customHeight="false" outlineLevel="0" collapsed="false">
      <c r="A465" s="11"/>
      <c r="B465" s="12"/>
      <c r="C465" s="12"/>
      <c r="D465" s="13"/>
      <c r="E465" s="13"/>
      <c r="F465" s="13"/>
      <c r="G465" s="10" t="str">
        <f aca="false">IF(AND(E465&lt;&gt;"",F465&lt;&gt;""),E465*F465,"")</f>
        <v/>
      </c>
      <c r="H465" s="13"/>
      <c r="I465" s="12"/>
    </row>
    <row r="466" customFormat="false" ht="15" hidden="false" customHeight="false" outlineLevel="0" collapsed="false">
      <c r="A466" s="11"/>
      <c r="B466" s="12"/>
      <c r="C466" s="12"/>
      <c r="D466" s="13"/>
      <c r="E466" s="13"/>
      <c r="F466" s="13"/>
      <c r="G466" s="10" t="str">
        <f aca="false">IF(AND(E466&lt;&gt;"",F466&lt;&gt;""),E466*F466,"")</f>
        <v/>
      </c>
      <c r="H466" s="13"/>
      <c r="I466" s="12"/>
    </row>
    <row r="467" customFormat="false" ht="15" hidden="false" customHeight="false" outlineLevel="0" collapsed="false">
      <c r="A467" s="11"/>
      <c r="B467" s="12"/>
      <c r="C467" s="12"/>
      <c r="D467" s="13"/>
      <c r="E467" s="13"/>
      <c r="F467" s="13"/>
      <c r="G467" s="10" t="str">
        <f aca="false">IF(AND(E467&lt;&gt;"",F467&lt;&gt;""),E467*F467,"")</f>
        <v/>
      </c>
      <c r="H467" s="13"/>
      <c r="I467" s="12"/>
    </row>
    <row r="468" customFormat="false" ht="15" hidden="false" customHeight="false" outlineLevel="0" collapsed="false">
      <c r="A468" s="11"/>
      <c r="B468" s="12"/>
      <c r="C468" s="12"/>
      <c r="D468" s="13"/>
      <c r="E468" s="13"/>
      <c r="F468" s="13"/>
      <c r="G468" s="10" t="str">
        <f aca="false">IF(AND(E468&lt;&gt;"",F468&lt;&gt;""),E468*F468,"")</f>
        <v/>
      </c>
      <c r="H468" s="13"/>
      <c r="I468" s="12"/>
    </row>
    <row r="469" customFormat="false" ht="15" hidden="false" customHeight="false" outlineLevel="0" collapsed="false">
      <c r="A469" s="11"/>
      <c r="B469" s="12"/>
      <c r="C469" s="12"/>
      <c r="D469" s="13"/>
      <c r="E469" s="13"/>
      <c r="F469" s="13"/>
      <c r="G469" s="10" t="str">
        <f aca="false">IF(AND(E469&lt;&gt;"",F469&lt;&gt;""),E469*F469,"")</f>
        <v/>
      </c>
      <c r="H469" s="13"/>
      <c r="I469" s="12"/>
    </row>
    <row r="470" customFormat="false" ht="15" hidden="false" customHeight="false" outlineLevel="0" collapsed="false">
      <c r="A470" s="11"/>
      <c r="B470" s="12"/>
      <c r="C470" s="12"/>
      <c r="D470" s="13"/>
      <c r="E470" s="13"/>
      <c r="F470" s="13"/>
      <c r="G470" s="10" t="str">
        <f aca="false">IF(AND(E470&lt;&gt;"",F470&lt;&gt;""),E470*F470,"")</f>
        <v/>
      </c>
      <c r="H470" s="13"/>
      <c r="I470" s="12"/>
    </row>
    <row r="471" customFormat="false" ht="15" hidden="false" customHeight="false" outlineLevel="0" collapsed="false">
      <c r="A471" s="11"/>
      <c r="B471" s="12"/>
      <c r="C471" s="12"/>
      <c r="D471" s="13"/>
      <c r="E471" s="13"/>
      <c r="F471" s="13"/>
      <c r="G471" s="10" t="str">
        <f aca="false">IF(AND(E471&lt;&gt;"",F471&lt;&gt;""),E471*F471,"")</f>
        <v/>
      </c>
      <c r="H471" s="13"/>
      <c r="I471" s="12"/>
    </row>
    <row r="472" customFormat="false" ht="15" hidden="false" customHeight="false" outlineLevel="0" collapsed="false">
      <c r="A472" s="11"/>
      <c r="B472" s="12"/>
      <c r="C472" s="12"/>
      <c r="D472" s="13"/>
      <c r="E472" s="13"/>
      <c r="F472" s="13"/>
      <c r="G472" s="10" t="str">
        <f aca="false">IF(AND(E472&lt;&gt;"",F472&lt;&gt;""),E472*F472,"")</f>
        <v/>
      </c>
      <c r="H472" s="13"/>
      <c r="I472" s="12"/>
    </row>
    <row r="473" customFormat="false" ht="15" hidden="false" customHeight="false" outlineLevel="0" collapsed="false">
      <c r="A473" s="11"/>
      <c r="B473" s="12"/>
      <c r="C473" s="12"/>
      <c r="D473" s="13"/>
      <c r="E473" s="13"/>
      <c r="F473" s="13"/>
      <c r="G473" s="10" t="str">
        <f aca="false">IF(AND(E473&lt;&gt;"",F473&lt;&gt;""),E473*F473,"")</f>
        <v/>
      </c>
      <c r="H473" s="13"/>
      <c r="I473" s="12"/>
    </row>
    <row r="474" customFormat="false" ht="15" hidden="false" customHeight="false" outlineLevel="0" collapsed="false">
      <c r="A474" s="11"/>
      <c r="B474" s="12"/>
      <c r="C474" s="12"/>
      <c r="D474" s="13"/>
      <c r="E474" s="13"/>
      <c r="F474" s="13"/>
      <c r="G474" s="10" t="str">
        <f aca="false">IF(AND(E474&lt;&gt;"",F474&lt;&gt;""),E474*F474,"")</f>
        <v/>
      </c>
      <c r="H474" s="13"/>
      <c r="I474" s="12"/>
    </row>
    <row r="475" customFormat="false" ht="15" hidden="false" customHeight="false" outlineLevel="0" collapsed="false">
      <c r="A475" s="11"/>
      <c r="B475" s="12"/>
      <c r="C475" s="12"/>
      <c r="D475" s="13"/>
      <c r="E475" s="13"/>
      <c r="F475" s="13"/>
      <c r="G475" s="10" t="str">
        <f aca="false">IF(AND(E475&lt;&gt;"",F475&lt;&gt;""),E475*F475,"")</f>
        <v/>
      </c>
      <c r="H475" s="13"/>
      <c r="I475" s="12"/>
    </row>
    <row r="476" customFormat="false" ht="15" hidden="false" customHeight="false" outlineLevel="0" collapsed="false">
      <c r="A476" s="11"/>
      <c r="B476" s="12"/>
      <c r="C476" s="12"/>
      <c r="D476" s="13"/>
      <c r="E476" s="13"/>
      <c r="F476" s="13"/>
      <c r="G476" s="10" t="str">
        <f aca="false">IF(AND(E476&lt;&gt;"",F476&lt;&gt;""),E476*F476,"")</f>
        <v/>
      </c>
      <c r="H476" s="13"/>
      <c r="I476" s="12"/>
    </row>
    <row r="477" customFormat="false" ht="15" hidden="false" customHeight="false" outlineLevel="0" collapsed="false">
      <c r="A477" s="11"/>
      <c r="B477" s="12"/>
      <c r="C477" s="12"/>
      <c r="D477" s="13"/>
      <c r="E477" s="13"/>
      <c r="F477" s="13"/>
      <c r="G477" s="10" t="str">
        <f aca="false">IF(AND(E477&lt;&gt;"",F477&lt;&gt;""),E477*F477,"")</f>
        <v/>
      </c>
      <c r="H477" s="13"/>
      <c r="I477" s="12"/>
    </row>
    <row r="478" customFormat="false" ht="15" hidden="false" customHeight="false" outlineLevel="0" collapsed="false">
      <c r="A478" s="11"/>
      <c r="B478" s="12"/>
      <c r="C478" s="12"/>
      <c r="D478" s="13"/>
      <c r="E478" s="13"/>
      <c r="F478" s="13"/>
      <c r="G478" s="10" t="str">
        <f aca="false">IF(AND(E478&lt;&gt;"",F478&lt;&gt;""),E478*F478,"")</f>
        <v/>
      </c>
      <c r="H478" s="13"/>
      <c r="I478" s="12"/>
    </row>
    <row r="479" customFormat="false" ht="15" hidden="false" customHeight="false" outlineLevel="0" collapsed="false">
      <c r="A479" s="11"/>
      <c r="B479" s="12"/>
      <c r="C479" s="12"/>
      <c r="D479" s="13"/>
      <c r="E479" s="13"/>
      <c r="F479" s="13"/>
      <c r="G479" s="10" t="str">
        <f aca="false">IF(AND(E479&lt;&gt;"",F479&lt;&gt;""),E479*F479,"")</f>
        <v/>
      </c>
      <c r="H479" s="13"/>
      <c r="I479" s="12"/>
    </row>
    <row r="480" customFormat="false" ht="15" hidden="false" customHeight="false" outlineLevel="0" collapsed="false">
      <c r="A480" s="11"/>
      <c r="B480" s="12"/>
      <c r="C480" s="12"/>
      <c r="D480" s="13"/>
      <c r="E480" s="13"/>
      <c r="F480" s="13"/>
      <c r="G480" s="10" t="str">
        <f aca="false">IF(AND(E480&lt;&gt;"",F480&lt;&gt;""),E480*F480,"")</f>
        <v/>
      </c>
      <c r="H480" s="13"/>
      <c r="I480" s="12"/>
    </row>
    <row r="481" customFormat="false" ht="15" hidden="false" customHeight="false" outlineLevel="0" collapsed="false">
      <c r="A481" s="11"/>
      <c r="B481" s="12"/>
      <c r="C481" s="12"/>
      <c r="D481" s="13"/>
      <c r="E481" s="13"/>
      <c r="F481" s="13"/>
      <c r="G481" s="10" t="str">
        <f aca="false">IF(AND(E481&lt;&gt;"",F481&lt;&gt;""),E481*F481,"")</f>
        <v/>
      </c>
      <c r="H481" s="13"/>
      <c r="I481" s="12"/>
    </row>
    <row r="482" customFormat="false" ht="15" hidden="false" customHeight="false" outlineLevel="0" collapsed="false">
      <c r="A482" s="11"/>
      <c r="B482" s="12"/>
      <c r="C482" s="12"/>
      <c r="D482" s="13"/>
      <c r="E482" s="13"/>
      <c r="F482" s="13"/>
      <c r="G482" s="10" t="str">
        <f aca="false">IF(AND(E482&lt;&gt;"",F482&lt;&gt;""),E482*F482,"")</f>
        <v/>
      </c>
      <c r="H482" s="13"/>
      <c r="I482" s="12"/>
    </row>
    <row r="483" customFormat="false" ht="15" hidden="false" customHeight="false" outlineLevel="0" collapsed="false">
      <c r="A483" s="11"/>
      <c r="B483" s="12"/>
      <c r="C483" s="12"/>
      <c r="D483" s="13"/>
      <c r="E483" s="13"/>
      <c r="F483" s="13"/>
      <c r="G483" s="10" t="str">
        <f aca="false">IF(AND(E483&lt;&gt;"",F483&lt;&gt;""),E483*F483,"")</f>
        <v/>
      </c>
      <c r="H483" s="13"/>
      <c r="I483" s="12"/>
    </row>
    <row r="484" customFormat="false" ht="15" hidden="false" customHeight="false" outlineLevel="0" collapsed="false">
      <c r="A484" s="11"/>
      <c r="B484" s="12"/>
      <c r="C484" s="12"/>
      <c r="D484" s="13"/>
      <c r="E484" s="13"/>
      <c r="F484" s="13"/>
      <c r="G484" s="10" t="str">
        <f aca="false">IF(AND(E484&lt;&gt;"",F484&lt;&gt;""),E484*F484,"")</f>
        <v/>
      </c>
      <c r="H484" s="13"/>
      <c r="I484" s="12"/>
    </row>
    <row r="485" customFormat="false" ht="15" hidden="false" customHeight="false" outlineLevel="0" collapsed="false">
      <c r="A485" s="11"/>
      <c r="B485" s="12"/>
      <c r="C485" s="12"/>
      <c r="D485" s="13"/>
      <c r="E485" s="13"/>
      <c r="F485" s="13"/>
      <c r="G485" s="10" t="str">
        <f aca="false">IF(AND(E485&lt;&gt;"",F485&lt;&gt;""),E485*F485,"")</f>
        <v/>
      </c>
      <c r="H485" s="13"/>
      <c r="I485" s="12"/>
    </row>
    <row r="486" customFormat="false" ht="15" hidden="false" customHeight="false" outlineLevel="0" collapsed="false">
      <c r="A486" s="11"/>
      <c r="B486" s="12"/>
      <c r="C486" s="12"/>
      <c r="D486" s="13"/>
      <c r="E486" s="13"/>
      <c r="F486" s="13"/>
      <c r="G486" s="10" t="str">
        <f aca="false">IF(AND(E486&lt;&gt;"",F486&lt;&gt;""),E486*F486,"")</f>
        <v/>
      </c>
      <c r="H486" s="13"/>
      <c r="I486" s="12"/>
    </row>
    <row r="487" customFormat="false" ht="15" hidden="false" customHeight="false" outlineLevel="0" collapsed="false">
      <c r="A487" s="11"/>
      <c r="B487" s="12"/>
      <c r="C487" s="12"/>
      <c r="D487" s="13"/>
      <c r="E487" s="13"/>
      <c r="F487" s="13"/>
      <c r="G487" s="10" t="str">
        <f aca="false">IF(AND(E487&lt;&gt;"",F487&lt;&gt;""),E487*F487,"")</f>
        <v/>
      </c>
      <c r="H487" s="13"/>
      <c r="I487" s="12"/>
    </row>
    <row r="488" customFormat="false" ht="15" hidden="false" customHeight="false" outlineLevel="0" collapsed="false">
      <c r="A488" s="11"/>
      <c r="B488" s="12"/>
      <c r="C488" s="12"/>
      <c r="D488" s="13"/>
      <c r="E488" s="13"/>
      <c r="F488" s="13"/>
      <c r="G488" s="10" t="str">
        <f aca="false">IF(AND(E488&lt;&gt;"",F488&lt;&gt;""),E488*F488,"")</f>
        <v/>
      </c>
      <c r="H488" s="13"/>
      <c r="I488" s="12"/>
    </row>
    <row r="489" customFormat="false" ht="15" hidden="false" customHeight="false" outlineLevel="0" collapsed="false">
      <c r="A489" s="11"/>
      <c r="B489" s="12"/>
      <c r="C489" s="12"/>
      <c r="D489" s="13"/>
      <c r="E489" s="13"/>
      <c r="F489" s="13"/>
      <c r="G489" s="10" t="str">
        <f aca="false">IF(AND(E489&lt;&gt;"",F489&lt;&gt;""),E489*F489,"")</f>
        <v/>
      </c>
      <c r="H489" s="13"/>
      <c r="I489" s="12"/>
    </row>
    <row r="490" customFormat="false" ht="15" hidden="false" customHeight="false" outlineLevel="0" collapsed="false">
      <c r="A490" s="11"/>
      <c r="B490" s="12"/>
      <c r="C490" s="12"/>
      <c r="D490" s="13"/>
      <c r="E490" s="13"/>
      <c r="F490" s="13"/>
      <c r="G490" s="10" t="str">
        <f aca="false">IF(AND(E490&lt;&gt;"",F490&lt;&gt;""),E490*F490,"")</f>
        <v/>
      </c>
      <c r="H490" s="13"/>
      <c r="I490" s="12"/>
    </row>
    <row r="491" customFormat="false" ht="15" hidden="false" customHeight="false" outlineLevel="0" collapsed="false">
      <c r="A491" s="11"/>
      <c r="B491" s="12"/>
      <c r="C491" s="12"/>
      <c r="D491" s="13"/>
      <c r="E491" s="13"/>
      <c r="F491" s="13"/>
      <c r="G491" s="10" t="str">
        <f aca="false">IF(AND(E491&lt;&gt;"",F491&lt;&gt;""),E491*F491,"")</f>
        <v/>
      </c>
      <c r="H491" s="13"/>
      <c r="I491" s="12"/>
    </row>
    <row r="492" customFormat="false" ht="15" hidden="false" customHeight="false" outlineLevel="0" collapsed="false">
      <c r="A492" s="11"/>
      <c r="B492" s="12"/>
      <c r="C492" s="12"/>
      <c r="D492" s="13"/>
      <c r="E492" s="13"/>
      <c r="F492" s="13"/>
      <c r="G492" s="10" t="str">
        <f aca="false">IF(AND(E492&lt;&gt;"",F492&lt;&gt;""),E492*F492,"")</f>
        <v/>
      </c>
      <c r="H492" s="13"/>
      <c r="I492" s="12"/>
    </row>
    <row r="493" customFormat="false" ht="15" hidden="false" customHeight="false" outlineLevel="0" collapsed="false">
      <c r="A493" s="11"/>
      <c r="B493" s="12"/>
      <c r="C493" s="12"/>
      <c r="D493" s="13"/>
      <c r="E493" s="13"/>
      <c r="F493" s="13"/>
      <c r="G493" s="10" t="str">
        <f aca="false">IF(AND(E493&lt;&gt;"",F493&lt;&gt;""),E493*F493,"")</f>
        <v/>
      </c>
      <c r="H493" s="13"/>
      <c r="I493" s="12"/>
    </row>
    <row r="494" customFormat="false" ht="15" hidden="false" customHeight="false" outlineLevel="0" collapsed="false">
      <c r="A494" s="11"/>
      <c r="B494" s="12"/>
      <c r="C494" s="12"/>
      <c r="D494" s="13"/>
      <c r="E494" s="13"/>
      <c r="F494" s="13"/>
      <c r="G494" s="10" t="str">
        <f aca="false">IF(AND(E494&lt;&gt;"",F494&lt;&gt;""),E494*F494,"")</f>
        <v/>
      </c>
      <c r="H494" s="13"/>
      <c r="I494" s="12"/>
    </row>
    <row r="495" customFormat="false" ht="15" hidden="false" customHeight="false" outlineLevel="0" collapsed="false">
      <c r="A495" s="11"/>
      <c r="B495" s="12"/>
      <c r="C495" s="12"/>
      <c r="D495" s="13"/>
      <c r="E495" s="13"/>
      <c r="F495" s="13"/>
      <c r="G495" s="10" t="str">
        <f aca="false">IF(AND(E495&lt;&gt;"",F495&lt;&gt;""),E495*F495,"")</f>
        <v/>
      </c>
      <c r="H495" s="13"/>
      <c r="I495" s="12"/>
    </row>
    <row r="496" customFormat="false" ht="15" hidden="false" customHeight="false" outlineLevel="0" collapsed="false">
      <c r="A496" s="11"/>
      <c r="B496" s="12"/>
      <c r="C496" s="12"/>
      <c r="D496" s="13"/>
      <c r="E496" s="13"/>
      <c r="F496" s="13"/>
      <c r="G496" s="10" t="str">
        <f aca="false">IF(AND(E496&lt;&gt;"",F496&lt;&gt;""),E496*F496,"")</f>
        <v/>
      </c>
      <c r="H496" s="13"/>
      <c r="I496" s="12"/>
    </row>
    <row r="497" customFormat="false" ht="15" hidden="false" customHeight="false" outlineLevel="0" collapsed="false">
      <c r="A497" s="11"/>
      <c r="B497" s="12"/>
      <c r="C497" s="12"/>
      <c r="D497" s="13"/>
      <c r="E497" s="13"/>
      <c r="F497" s="13"/>
      <c r="G497" s="10" t="str">
        <f aca="false">IF(AND(E497&lt;&gt;"",F497&lt;&gt;""),E497*F497,"")</f>
        <v/>
      </c>
      <c r="H497" s="13"/>
      <c r="I497" s="12"/>
    </row>
    <row r="498" customFormat="false" ht="15" hidden="false" customHeight="false" outlineLevel="0" collapsed="false">
      <c r="A498" s="11"/>
      <c r="B498" s="12"/>
      <c r="C498" s="12"/>
      <c r="D498" s="13"/>
      <c r="E498" s="13"/>
      <c r="F498" s="13"/>
      <c r="G498" s="10" t="str">
        <f aca="false">IF(AND(E498&lt;&gt;"",F498&lt;&gt;""),E498*F498,"")</f>
        <v/>
      </c>
      <c r="H498" s="13"/>
      <c r="I498" s="12"/>
    </row>
    <row r="499" customFormat="false" ht="15" hidden="false" customHeight="false" outlineLevel="0" collapsed="false">
      <c r="A499" s="11"/>
      <c r="B499" s="12"/>
      <c r="C499" s="12"/>
      <c r="D499" s="13"/>
      <c r="E499" s="13"/>
      <c r="F499" s="13"/>
      <c r="G499" s="10" t="str">
        <f aca="false">IF(AND(E499&lt;&gt;"",F499&lt;&gt;""),E499*F499,"")</f>
        <v/>
      </c>
      <c r="H499" s="13"/>
      <c r="I499" s="12"/>
    </row>
    <row r="500" customFormat="false" ht="15" hidden="false" customHeight="false" outlineLevel="0" collapsed="false">
      <c r="A500" s="11"/>
      <c r="B500" s="12"/>
      <c r="C500" s="12"/>
      <c r="D500" s="13"/>
      <c r="E500" s="13"/>
      <c r="F500" s="13"/>
      <c r="G500" s="10" t="str">
        <f aca="false">IF(AND(E500&lt;&gt;"",F500&lt;&gt;""),E500*F500,"")</f>
        <v/>
      </c>
      <c r="H500" s="13"/>
      <c r="I500" s="12"/>
    </row>
    <row r="501" customFormat="false" ht="15" hidden="false" customHeight="false" outlineLevel="0" collapsed="false">
      <c r="A501" s="11"/>
      <c r="B501" s="12"/>
      <c r="C501" s="12"/>
      <c r="D501" s="13"/>
      <c r="E501" s="13"/>
      <c r="F501" s="13"/>
      <c r="G501" s="10" t="str">
        <f aca="false">IF(AND(E501&lt;&gt;"",F501&lt;&gt;""),E501*F501,"")</f>
        <v/>
      </c>
      <c r="H501" s="13"/>
      <c r="I501" s="12"/>
    </row>
    <row r="502" customFormat="false" ht="15" hidden="false" customHeight="false" outlineLevel="0" collapsed="false">
      <c r="A502" s="11"/>
      <c r="B502" s="12"/>
      <c r="C502" s="12"/>
      <c r="D502" s="13"/>
      <c r="E502" s="13"/>
      <c r="F502" s="13"/>
      <c r="G502" s="10" t="str">
        <f aca="false">IF(AND(E502&lt;&gt;"",F502&lt;&gt;""),E502*F502,"")</f>
        <v/>
      </c>
      <c r="H502" s="13"/>
      <c r="I502" s="12"/>
    </row>
    <row r="503" customFormat="false" ht="15" hidden="false" customHeight="false" outlineLevel="0" collapsed="false">
      <c r="A503" s="11"/>
      <c r="B503" s="12"/>
      <c r="C503" s="12"/>
      <c r="D503" s="13"/>
      <c r="E503" s="13"/>
      <c r="F503" s="13"/>
      <c r="G503" s="10" t="str">
        <f aca="false">IF(AND(E503&lt;&gt;"",F503&lt;&gt;""),E503*F503,"")</f>
        <v/>
      </c>
      <c r="H503" s="13"/>
      <c r="I503" s="12"/>
    </row>
    <row r="504" customFormat="false" ht="15" hidden="false" customHeight="false" outlineLevel="0" collapsed="false">
      <c r="A504" s="11"/>
      <c r="B504" s="12"/>
      <c r="C504" s="12"/>
      <c r="D504" s="13"/>
      <c r="E504" s="13"/>
      <c r="F504" s="13"/>
      <c r="G504" s="10" t="str">
        <f aca="false">IF(AND(E504&lt;&gt;"",F504&lt;&gt;""),E504*F504,"")</f>
        <v/>
      </c>
      <c r="H504" s="13"/>
      <c r="I504" s="12"/>
    </row>
    <row r="505" customFormat="false" ht="15" hidden="false" customHeight="false" outlineLevel="0" collapsed="false">
      <c r="A505" s="11"/>
      <c r="B505" s="12"/>
      <c r="C505" s="12"/>
      <c r="D505" s="13"/>
      <c r="E505" s="13"/>
      <c r="F505" s="13"/>
      <c r="G505" s="10" t="str">
        <f aca="false">IF(AND(E505&lt;&gt;"",F505&lt;&gt;""),E505*F505,"")</f>
        <v/>
      </c>
      <c r="H505" s="13"/>
      <c r="I505" s="12"/>
    </row>
    <row r="506" customFormat="false" ht="15" hidden="false" customHeight="false" outlineLevel="0" collapsed="false">
      <c r="A506" s="11"/>
      <c r="B506" s="12"/>
      <c r="C506" s="12"/>
      <c r="D506" s="13"/>
      <c r="E506" s="13"/>
      <c r="F506" s="13"/>
      <c r="G506" s="10" t="str">
        <f aca="false">IF(AND(E506&lt;&gt;"",F506&lt;&gt;""),E506*F506,"")</f>
        <v/>
      </c>
      <c r="H506" s="13"/>
      <c r="I506" s="12"/>
    </row>
    <row r="507" customFormat="false" ht="15" hidden="false" customHeight="false" outlineLevel="0" collapsed="false">
      <c r="A507" s="11"/>
      <c r="B507" s="12"/>
      <c r="C507" s="12"/>
      <c r="D507" s="13"/>
      <c r="E507" s="13"/>
      <c r="F507" s="13"/>
      <c r="G507" s="10" t="str">
        <f aca="false">IF(AND(E507&lt;&gt;"",F507&lt;&gt;""),E507*F507,"")</f>
        <v/>
      </c>
      <c r="H507" s="13"/>
      <c r="I507" s="12"/>
    </row>
    <row r="508" customFormat="false" ht="15" hidden="false" customHeight="false" outlineLevel="0" collapsed="false">
      <c r="A508" s="11"/>
      <c r="B508" s="12"/>
      <c r="C508" s="12"/>
      <c r="D508" s="13"/>
      <c r="E508" s="13"/>
      <c r="F508" s="13"/>
      <c r="G508" s="10" t="str">
        <f aca="false">IF(AND(E508&lt;&gt;"",F508&lt;&gt;""),E508*F508,"")</f>
        <v/>
      </c>
      <c r="H508" s="13"/>
      <c r="I508" s="12"/>
    </row>
    <row r="509" customFormat="false" ht="15" hidden="false" customHeight="false" outlineLevel="0" collapsed="false">
      <c r="A509" s="11"/>
      <c r="B509" s="12"/>
      <c r="C509" s="12"/>
      <c r="D509" s="13"/>
      <c r="E509" s="13"/>
      <c r="F509" s="13"/>
      <c r="G509" s="10" t="str">
        <f aca="false">IF(AND(E509&lt;&gt;"",F509&lt;&gt;""),E509*F509,"")</f>
        <v/>
      </c>
      <c r="H509" s="13"/>
      <c r="I509" s="12"/>
    </row>
    <row r="510" customFormat="false" ht="15" hidden="false" customHeight="false" outlineLevel="0" collapsed="false">
      <c r="A510" s="11"/>
      <c r="B510" s="12"/>
      <c r="C510" s="12"/>
      <c r="D510" s="13"/>
      <c r="E510" s="13"/>
      <c r="F510" s="13"/>
      <c r="G510" s="10" t="str">
        <f aca="false">IF(AND(E510&lt;&gt;"",F510&lt;&gt;""),E510*F510,"")</f>
        <v/>
      </c>
      <c r="H510" s="13"/>
      <c r="I510" s="12"/>
    </row>
    <row r="511" customFormat="false" ht="15" hidden="false" customHeight="false" outlineLevel="0" collapsed="false">
      <c r="A511" s="11"/>
      <c r="B511" s="12"/>
      <c r="C511" s="12"/>
      <c r="D511" s="13"/>
      <c r="E511" s="13"/>
      <c r="F511" s="13"/>
      <c r="G511" s="10" t="str">
        <f aca="false">IF(AND(E511&lt;&gt;"",F511&lt;&gt;""),E511*F511,"")</f>
        <v/>
      </c>
      <c r="H511" s="13"/>
      <c r="I511" s="12"/>
    </row>
    <row r="512" customFormat="false" ht="15" hidden="false" customHeight="false" outlineLevel="0" collapsed="false">
      <c r="A512" s="11"/>
      <c r="B512" s="12"/>
      <c r="C512" s="12"/>
      <c r="D512" s="13"/>
      <c r="E512" s="13"/>
      <c r="F512" s="13"/>
      <c r="G512" s="10" t="str">
        <f aca="false">IF(AND(E512&lt;&gt;"",F512&lt;&gt;""),E512*F512,"")</f>
        <v/>
      </c>
      <c r="H512" s="13"/>
      <c r="I512" s="12"/>
    </row>
    <row r="513" customFormat="false" ht="15" hidden="false" customHeight="false" outlineLevel="0" collapsed="false">
      <c r="A513" s="11"/>
      <c r="B513" s="12"/>
      <c r="C513" s="12"/>
      <c r="D513" s="13"/>
      <c r="E513" s="13"/>
      <c r="F513" s="13"/>
      <c r="G513" s="10" t="str">
        <f aca="false">IF(AND(E513&lt;&gt;"",F513&lt;&gt;""),E513*F513,"")</f>
        <v/>
      </c>
      <c r="H513" s="13"/>
      <c r="I513" s="12"/>
    </row>
    <row r="514" customFormat="false" ht="15" hidden="false" customHeight="false" outlineLevel="0" collapsed="false">
      <c r="A514" s="11"/>
      <c r="B514" s="12"/>
      <c r="C514" s="12"/>
      <c r="D514" s="13"/>
      <c r="E514" s="13"/>
      <c r="F514" s="13"/>
      <c r="G514" s="10" t="str">
        <f aca="false">IF(AND(E514&lt;&gt;"",F514&lt;&gt;""),E514*F514,"")</f>
        <v/>
      </c>
      <c r="H514" s="13"/>
      <c r="I514" s="12"/>
    </row>
    <row r="515" customFormat="false" ht="15" hidden="false" customHeight="false" outlineLevel="0" collapsed="false">
      <c r="A515" s="11"/>
      <c r="B515" s="12"/>
      <c r="C515" s="12"/>
      <c r="D515" s="13"/>
      <c r="E515" s="13"/>
      <c r="F515" s="13"/>
      <c r="G515" s="10" t="str">
        <f aca="false">IF(AND(E515&lt;&gt;"",F515&lt;&gt;""),E515*F515,"")</f>
        <v/>
      </c>
      <c r="H515" s="13"/>
      <c r="I515" s="12"/>
    </row>
    <row r="516" customFormat="false" ht="15" hidden="false" customHeight="false" outlineLevel="0" collapsed="false">
      <c r="A516" s="11"/>
      <c r="B516" s="12"/>
      <c r="C516" s="12"/>
      <c r="D516" s="13"/>
      <c r="E516" s="13"/>
      <c r="F516" s="13"/>
      <c r="G516" s="10" t="str">
        <f aca="false">IF(AND(E516&lt;&gt;"",F516&lt;&gt;""),E516*F516,"")</f>
        <v/>
      </c>
      <c r="H516" s="13"/>
      <c r="I516" s="12"/>
    </row>
    <row r="517" customFormat="false" ht="15" hidden="false" customHeight="false" outlineLevel="0" collapsed="false">
      <c r="A517" s="11"/>
      <c r="B517" s="12"/>
      <c r="C517" s="12"/>
      <c r="D517" s="13"/>
      <c r="E517" s="13"/>
      <c r="F517" s="13"/>
      <c r="G517" s="10" t="str">
        <f aca="false">IF(AND(E517&lt;&gt;"",F517&lt;&gt;""),E517*F517,"")</f>
        <v/>
      </c>
      <c r="H517" s="13"/>
      <c r="I517" s="12"/>
    </row>
    <row r="518" customFormat="false" ht="15" hidden="false" customHeight="false" outlineLevel="0" collapsed="false">
      <c r="A518" s="11"/>
      <c r="B518" s="12"/>
      <c r="C518" s="12"/>
      <c r="D518" s="13"/>
      <c r="E518" s="13"/>
      <c r="F518" s="13"/>
      <c r="G518" s="10" t="str">
        <f aca="false">IF(AND(E518&lt;&gt;"",F518&lt;&gt;""),E518*F518,"")</f>
        <v/>
      </c>
      <c r="H518" s="13"/>
      <c r="I518" s="12"/>
    </row>
    <row r="519" customFormat="false" ht="15" hidden="false" customHeight="false" outlineLevel="0" collapsed="false">
      <c r="A519" s="11"/>
      <c r="B519" s="12"/>
      <c r="C519" s="12"/>
      <c r="D519" s="13"/>
      <c r="E519" s="13"/>
      <c r="F519" s="13"/>
      <c r="G519" s="10" t="str">
        <f aca="false">IF(AND(E519&lt;&gt;"",F519&lt;&gt;""),E519*F519,"")</f>
        <v/>
      </c>
      <c r="H519" s="13"/>
      <c r="I519" s="12"/>
    </row>
    <row r="520" customFormat="false" ht="15" hidden="false" customHeight="false" outlineLevel="0" collapsed="false">
      <c r="A520" s="11"/>
      <c r="B520" s="12"/>
      <c r="C520" s="12"/>
      <c r="D520" s="13"/>
      <c r="E520" s="13"/>
      <c r="F520" s="13"/>
      <c r="G520" s="10" t="str">
        <f aca="false">IF(AND(E520&lt;&gt;"",F520&lt;&gt;""),E520*F520,"")</f>
        <v/>
      </c>
      <c r="H520" s="13"/>
      <c r="I520" s="12"/>
    </row>
    <row r="521" customFormat="false" ht="15" hidden="false" customHeight="false" outlineLevel="0" collapsed="false">
      <c r="A521" s="11"/>
      <c r="B521" s="12"/>
      <c r="C521" s="12"/>
      <c r="D521" s="13"/>
      <c r="E521" s="13"/>
      <c r="F521" s="13"/>
      <c r="G521" s="10" t="str">
        <f aca="false">IF(AND(E521&lt;&gt;"",F521&lt;&gt;""),E521*F521,"")</f>
        <v/>
      </c>
      <c r="H521" s="13"/>
      <c r="I521" s="12"/>
    </row>
    <row r="522" customFormat="false" ht="15" hidden="false" customHeight="false" outlineLevel="0" collapsed="false">
      <c r="A522" s="11"/>
      <c r="B522" s="12"/>
      <c r="C522" s="12"/>
      <c r="D522" s="13"/>
      <c r="E522" s="13"/>
      <c r="F522" s="13"/>
      <c r="G522" s="10" t="str">
        <f aca="false">IF(AND(E522&lt;&gt;"",F522&lt;&gt;""),E522*F522,"")</f>
        <v/>
      </c>
      <c r="H522" s="13"/>
      <c r="I522" s="12"/>
    </row>
    <row r="523" customFormat="false" ht="15" hidden="false" customHeight="false" outlineLevel="0" collapsed="false">
      <c r="A523" s="11"/>
      <c r="B523" s="12"/>
      <c r="C523" s="12"/>
      <c r="D523" s="13"/>
      <c r="E523" s="13"/>
      <c r="F523" s="13"/>
      <c r="G523" s="10" t="str">
        <f aca="false">IF(AND(E523&lt;&gt;"",F523&lt;&gt;""),E523*F523,"")</f>
        <v/>
      </c>
      <c r="H523" s="13"/>
      <c r="I523" s="12"/>
    </row>
    <row r="524" customFormat="false" ht="15" hidden="false" customHeight="false" outlineLevel="0" collapsed="false">
      <c r="A524" s="11"/>
      <c r="B524" s="12"/>
      <c r="C524" s="12"/>
      <c r="D524" s="13"/>
      <c r="E524" s="13"/>
      <c r="F524" s="13"/>
      <c r="G524" s="10" t="str">
        <f aca="false">IF(AND(E524&lt;&gt;"",F524&lt;&gt;""),E524*F524,"")</f>
        <v/>
      </c>
      <c r="H524" s="13"/>
      <c r="I524" s="12"/>
    </row>
    <row r="525" customFormat="false" ht="15" hidden="false" customHeight="false" outlineLevel="0" collapsed="false">
      <c r="A525" s="11"/>
      <c r="B525" s="12"/>
      <c r="C525" s="12"/>
      <c r="D525" s="13"/>
      <c r="E525" s="13"/>
      <c r="F525" s="13"/>
      <c r="G525" s="10" t="str">
        <f aca="false">IF(AND(E525&lt;&gt;"",F525&lt;&gt;""),E525*F525,"")</f>
        <v/>
      </c>
      <c r="H525" s="13"/>
      <c r="I525" s="12"/>
    </row>
    <row r="526" customFormat="false" ht="15" hidden="false" customHeight="false" outlineLevel="0" collapsed="false">
      <c r="A526" s="11"/>
      <c r="B526" s="12"/>
      <c r="C526" s="12"/>
      <c r="D526" s="13"/>
      <c r="E526" s="13"/>
      <c r="F526" s="13"/>
      <c r="G526" s="10" t="str">
        <f aca="false">IF(AND(E526&lt;&gt;"",F526&lt;&gt;""),E526*F526,"")</f>
        <v/>
      </c>
      <c r="H526" s="13"/>
      <c r="I526" s="12"/>
    </row>
    <row r="527" customFormat="false" ht="15" hidden="false" customHeight="false" outlineLevel="0" collapsed="false">
      <c r="A527" s="11"/>
      <c r="B527" s="12"/>
      <c r="C527" s="12"/>
      <c r="D527" s="13"/>
      <c r="E527" s="13"/>
      <c r="F527" s="13"/>
      <c r="G527" s="10" t="str">
        <f aca="false">IF(AND(E527&lt;&gt;"",F527&lt;&gt;""),E527*F527,"")</f>
        <v/>
      </c>
      <c r="H527" s="13"/>
      <c r="I527" s="12"/>
    </row>
    <row r="528" customFormat="false" ht="15" hidden="false" customHeight="false" outlineLevel="0" collapsed="false">
      <c r="A528" s="11"/>
      <c r="B528" s="12"/>
      <c r="C528" s="12"/>
      <c r="D528" s="13"/>
      <c r="E528" s="13"/>
      <c r="F528" s="13"/>
      <c r="G528" s="10" t="str">
        <f aca="false">IF(AND(E528&lt;&gt;"",F528&lt;&gt;""),E528*F528,"")</f>
        <v/>
      </c>
      <c r="H528" s="13"/>
      <c r="I528" s="12"/>
    </row>
    <row r="529" customFormat="false" ht="15" hidden="false" customHeight="false" outlineLevel="0" collapsed="false">
      <c r="A529" s="11"/>
      <c r="B529" s="12"/>
      <c r="C529" s="12"/>
      <c r="D529" s="13"/>
      <c r="E529" s="13"/>
      <c r="F529" s="13"/>
      <c r="G529" s="10" t="str">
        <f aca="false">IF(AND(E529&lt;&gt;"",F529&lt;&gt;""),E529*F529,"")</f>
        <v/>
      </c>
      <c r="H529" s="13"/>
      <c r="I529" s="12"/>
    </row>
    <row r="530" customFormat="false" ht="15" hidden="false" customHeight="false" outlineLevel="0" collapsed="false">
      <c r="A530" s="11"/>
      <c r="B530" s="12"/>
      <c r="C530" s="12"/>
      <c r="D530" s="13"/>
      <c r="E530" s="13"/>
      <c r="F530" s="13"/>
      <c r="G530" s="10" t="str">
        <f aca="false">IF(AND(E530&lt;&gt;"",F530&lt;&gt;""),E530*F530,"")</f>
        <v/>
      </c>
      <c r="H530" s="13"/>
      <c r="I530" s="12"/>
    </row>
    <row r="531" customFormat="false" ht="15" hidden="false" customHeight="false" outlineLevel="0" collapsed="false">
      <c r="A531" s="11"/>
      <c r="B531" s="12"/>
      <c r="C531" s="12"/>
      <c r="D531" s="13"/>
      <c r="E531" s="13"/>
      <c r="F531" s="13"/>
      <c r="G531" s="10" t="str">
        <f aca="false">IF(AND(E531&lt;&gt;"",F531&lt;&gt;""),E531*F531,"")</f>
        <v/>
      </c>
      <c r="H531" s="13"/>
      <c r="I531" s="12"/>
    </row>
    <row r="532" customFormat="false" ht="15" hidden="false" customHeight="false" outlineLevel="0" collapsed="false">
      <c r="A532" s="11"/>
      <c r="B532" s="12"/>
      <c r="C532" s="12"/>
      <c r="D532" s="13"/>
      <c r="E532" s="13"/>
      <c r="F532" s="13"/>
      <c r="G532" s="10" t="str">
        <f aca="false">IF(AND(E532&lt;&gt;"",F532&lt;&gt;""),E532*F532,"")</f>
        <v/>
      </c>
      <c r="H532" s="13"/>
      <c r="I532" s="12"/>
    </row>
    <row r="533" customFormat="false" ht="15" hidden="false" customHeight="false" outlineLevel="0" collapsed="false">
      <c r="A533" s="11"/>
      <c r="B533" s="12"/>
      <c r="C533" s="12"/>
      <c r="D533" s="13"/>
      <c r="E533" s="13"/>
      <c r="F533" s="13"/>
      <c r="G533" s="10" t="str">
        <f aca="false">IF(AND(E533&lt;&gt;"",F533&lt;&gt;""),E533*F533,"")</f>
        <v/>
      </c>
      <c r="H533" s="13"/>
      <c r="I533" s="12"/>
    </row>
    <row r="534" customFormat="false" ht="15" hidden="false" customHeight="false" outlineLevel="0" collapsed="false">
      <c r="A534" s="11"/>
      <c r="B534" s="12"/>
      <c r="C534" s="12"/>
      <c r="D534" s="13"/>
      <c r="E534" s="13"/>
      <c r="F534" s="13"/>
      <c r="G534" s="10" t="str">
        <f aca="false">IF(AND(E534&lt;&gt;"",F534&lt;&gt;""),E534*F534,"")</f>
        <v/>
      </c>
      <c r="H534" s="13"/>
      <c r="I534" s="12"/>
    </row>
    <row r="535" customFormat="false" ht="15" hidden="false" customHeight="false" outlineLevel="0" collapsed="false">
      <c r="A535" s="11"/>
      <c r="B535" s="12"/>
      <c r="C535" s="12"/>
      <c r="D535" s="13"/>
      <c r="E535" s="13"/>
      <c r="F535" s="13"/>
      <c r="G535" s="10" t="str">
        <f aca="false">IF(AND(E535&lt;&gt;"",F535&lt;&gt;""),E535*F535,"")</f>
        <v/>
      </c>
      <c r="H535" s="13"/>
      <c r="I535" s="12"/>
    </row>
    <row r="536" customFormat="false" ht="15" hidden="false" customHeight="false" outlineLevel="0" collapsed="false">
      <c r="A536" s="11"/>
      <c r="B536" s="12"/>
      <c r="C536" s="12"/>
      <c r="D536" s="13"/>
      <c r="E536" s="13"/>
      <c r="F536" s="13"/>
      <c r="G536" s="10" t="str">
        <f aca="false">IF(AND(E536&lt;&gt;"",F536&lt;&gt;""),E536*F536,"")</f>
        <v/>
      </c>
      <c r="H536" s="13"/>
      <c r="I536" s="12"/>
    </row>
    <row r="537" customFormat="false" ht="15" hidden="false" customHeight="false" outlineLevel="0" collapsed="false">
      <c r="A537" s="11"/>
      <c r="B537" s="12"/>
      <c r="C537" s="12"/>
      <c r="D537" s="13"/>
      <c r="E537" s="13"/>
      <c r="F537" s="13"/>
      <c r="G537" s="10" t="str">
        <f aca="false">IF(AND(E537&lt;&gt;"",F537&lt;&gt;""),E537*F537,"")</f>
        <v/>
      </c>
      <c r="H537" s="13"/>
      <c r="I537" s="12"/>
    </row>
    <row r="538" customFormat="false" ht="15" hidden="false" customHeight="false" outlineLevel="0" collapsed="false">
      <c r="A538" s="11"/>
      <c r="B538" s="12"/>
      <c r="C538" s="12"/>
      <c r="D538" s="13"/>
      <c r="E538" s="13"/>
      <c r="F538" s="13"/>
      <c r="G538" s="10" t="str">
        <f aca="false">IF(AND(E538&lt;&gt;"",F538&lt;&gt;""),E538*F538,"")</f>
        <v/>
      </c>
      <c r="H538" s="13"/>
      <c r="I538" s="12"/>
    </row>
    <row r="539" customFormat="false" ht="15" hidden="false" customHeight="false" outlineLevel="0" collapsed="false">
      <c r="A539" s="11"/>
      <c r="B539" s="12"/>
      <c r="C539" s="12"/>
      <c r="D539" s="13"/>
      <c r="E539" s="13"/>
      <c r="F539" s="13"/>
      <c r="G539" s="10" t="str">
        <f aca="false">IF(AND(E539&lt;&gt;"",F539&lt;&gt;""),E539*F539,"")</f>
        <v/>
      </c>
      <c r="H539" s="13"/>
      <c r="I539" s="12"/>
    </row>
    <row r="540" customFormat="false" ht="15" hidden="false" customHeight="false" outlineLevel="0" collapsed="false">
      <c r="A540" s="11"/>
      <c r="B540" s="12"/>
      <c r="C540" s="12"/>
      <c r="D540" s="13"/>
      <c r="E540" s="13"/>
      <c r="F540" s="13"/>
      <c r="G540" s="10" t="str">
        <f aca="false">IF(AND(E540&lt;&gt;"",F540&lt;&gt;""),E540*F540,"")</f>
        <v/>
      </c>
      <c r="H540" s="13"/>
      <c r="I540" s="12"/>
    </row>
    <row r="541" customFormat="false" ht="15" hidden="false" customHeight="false" outlineLevel="0" collapsed="false">
      <c r="A541" s="11"/>
      <c r="B541" s="12"/>
      <c r="C541" s="12"/>
      <c r="D541" s="13"/>
      <c r="E541" s="13"/>
      <c r="F541" s="13"/>
      <c r="G541" s="10" t="str">
        <f aca="false">IF(AND(E541&lt;&gt;"",F541&lt;&gt;""),E541*F541,"")</f>
        <v/>
      </c>
      <c r="H541" s="13"/>
      <c r="I541" s="12"/>
    </row>
    <row r="542" customFormat="false" ht="15" hidden="false" customHeight="false" outlineLevel="0" collapsed="false">
      <c r="A542" s="11"/>
      <c r="B542" s="12"/>
      <c r="C542" s="12"/>
      <c r="D542" s="13"/>
      <c r="E542" s="13"/>
      <c r="F542" s="13"/>
      <c r="G542" s="10" t="str">
        <f aca="false">IF(AND(E542&lt;&gt;"",F542&lt;&gt;""),E542*F542,"")</f>
        <v/>
      </c>
      <c r="H542" s="13"/>
      <c r="I542" s="12"/>
    </row>
    <row r="543" customFormat="false" ht="15" hidden="false" customHeight="false" outlineLevel="0" collapsed="false">
      <c r="A543" s="11"/>
      <c r="B543" s="12"/>
      <c r="C543" s="12"/>
      <c r="D543" s="13"/>
      <c r="E543" s="13"/>
      <c r="F543" s="13"/>
      <c r="G543" s="10" t="str">
        <f aca="false">IF(AND(E543&lt;&gt;"",F543&lt;&gt;""),E543*F543,"")</f>
        <v/>
      </c>
      <c r="H543" s="13"/>
      <c r="I543" s="12"/>
    </row>
    <row r="544" customFormat="false" ht="15" hidden="false" customHeight="false" outlineLevel="0" collapsed="false">
      <c r="A544" s="11"/>
      <c r="B544" s="12"/>
      <c r="C544" s="12"/>
      <c r="D544" s="13"/>
      <c r="E544" s="13"/>
      <c r="F544" s="13"/>
      <c r="G544" s="10" t="str">
        <f aca="false">IF(AND(E544&lt;&gt;"",F544&lt;&gt;""),E544*F544,"")</f>
        <v/>
      </c>
      <c r="H544" s="13"/>
      <c r="I544" s="12"/>
    </row>
    <row r="545" customFormat="false" ht="15" hidden="false" customHeight="false" outlineLevel="0" collapsed="false">
      <c r="A545" s="11"/>
      <c r="B545" s="12"/>
      <c r="C545" s="12"/>
      <c r="D545" s="13"/>
      <c r="E545" s="13"/>
      <c r="F545" s="13"/>
      <c r="G545" s="10" t="str">
        <f aca="false">IF(AND(E545&lt;&gt;"",F545&lt;&gt;""),E545*F545,"")</f>
        <v/>
      </c>
      <c r="H545" s="13"/>
      <c r="I545" s="12"/>
    </row>
    <row r="546" customFormat="false" ht="15" hidden="false" customHeight="false" outlineLevel="0" collapsed="false">
      <c r="A546" s="11"/>
      <c r="B546" s="12"/>
      <c r="C546" s="12"/>
      <c r="D546" s="13"/>
      <c r="E546" s="13"/>
      <c r="F546" s="13"/>
      <c r="G546" s="10" t="str">
        <f aca="false">IF(AND(E546&lt;&gt;"",F546&lt;&gt;""),E546*F546,"")</f>
        <v/>
      </c>
      <c r="H546" s="13"/>
      <c r="I546" s="12"/>
    </row>
    <row r="547" customFormat="false" ht="15" hidden="false" customHeight="false" outlineLevel="0" collapsed="false">
      <c r="A547" s="11"/>
      <c r="B547" s="12"/>
      <c r="C547" s="12"/>
      <c r="D547" s="13"/>
      <c r="E547" s="13"/>
      <c r="F547" s="13"/>
      <c r="G547" s="10" t="str">
        <f aca="false">IF(AND(E547&lt;&gt;"",F547&lt;&gt;""),E547*F547,"")</f>
        <v/>
      </c>
      <c r="H547" s="13"/>
      <c r="I547" s="12"/>
    </row>
    <row r="548" customFormat="false" ht="15" hidden="false" customHeight="false" outlineLevel="0" collapsed="false">
      <c r="A548" s="11"/>
      <c r="B548" s="12"/>
      <c r="C548" s="12"/>
      <c r="D548" s="13"/>
      <c r="E548" s="13"/>
      <c r="F548" s="13"/>
      <c r="G548" s="10" t="str">
        <f aca="false">IF(AND(E548&lt;&gt;"",F548&lt;&gt;""),E548*F548,"")</f>
        <v/>
      </c>
      <c r="H548" s="13"/>
      <c r="I548" s="12"/>
    </row>
    <row r="549" customFormat="false" ht="15" hidden="false" customHeight="false" outlineLevel="0" collapsed="false">
      <c r="A549" s="11"/>
      <c r="B549" s="12"/>
      <c r="C549" s="12"/>
      <c r="D549" s="13"/>
      <c r="E549" s="13"/>
      <c r="F549" s="13"/>
      <c r="G549" s="10" t="str">
        <f aca="false">IF(AND(E549&lt;&gt;"",F549&lt;&gt;""),E549*F549,"")</f>
        <v/>
      </c>
      <c r="H549" s="13"/>
      <c r="I549" s="12"/>
    </row>
    <row r="550" customFormat="false" ht="15" hidden="false" customHeight="false" outlineLevel="0" collapsed="false">
      <c r="A550" s="11"/>
      <c r="B550" s="12"/>
      <c r="C550" s="12"/>
      <c r="D550" s="13"/>
      <c r="E550" s="13"/>
      <c r="F550" s="13"/>
      <c r="G550" s="10" t="str">
        <f aca="false">IF(AND(E550&lt;&gt;"",F550&lt;&gt;""),E550*F550,"")</f>
        <v/>
      </c>
      <c r="H550" s="13"/>
      <c r="I550" s="12"/>
    </row>
    <row r="551" customFormat="false" ht="15" hidden="false" customHeight="false" outlineLevel="0" collapsed="false">
      <c r="A551" s="11"/>
      <c r="B551" s="12"/>
      <c r="C551" s="12"/>
      <c r="D551" s="13"/>
      <c r="E551" s="13"/>
      <c r="F551" s="13"/>
      <c r="G551" s="10" t="str">
        <f aca="false">IF(AND(E551&lt;&gt;"",F551&lt;&gt;""),E551*F551,"")</f>
        <v/>
      </c>
      <c r="H551" s="13"/>
      <c r="I551" s="12"/>
    </row>
    <row r="552" customFormat="false" ht="15" hidden="false" customHeight="false" outlineLevel="0" collapsed="false">
      <c r="A552" s="11"/>
      <c r="B552" s="12"/>
      <c r="C552" s="12"/>
      <c r="D552" s="13"/>
      <c r="E552" s="13"/>
      <c r="F552" s="13"/>
      <c r="G552" s="10" t="str">
        <f aca="false">IF(AND(E552&lt;&gt;"",F552&lt;&gt;""),E552*F552,"")</f>
        <v/>
      </c>
      <c r="H552" s="13"/>
      <c r="I552" s="12"/>
    </row>
    <row r="553" customFormat="false" ht="15" hidden="false" customHeight="false" outlineLevel="0" collapsed="false">
      <c r="A553" s="11"/>
      <c r="B553" s="12"/>
      <c r="C553" s="12"/>
      <c r="D553" s="13"/>
      <c r="E553" s="13"/>
      <c r="F553" s="13"/>
      <c r="G553" s="10" t="str">
        <f aca="false">IF(AND(E553&lt;&gt;"",F553&lt;&gt;""),E553*F553,"")</f>
        <v/>
      </c>
      <c r="H553" s="13"/>
      <c r="I553" s="12"/>
    </row>
    <row r="554" customFormat="false" ht="15" hidden="false" customHeight="false" outlineLevel="0" collapsed="false">
      <c r="A554" s="11"/>
      <c r="B554" s="12"/>
      <c r="C554" s="12"/>
      <c r="D554" s="13"/>
      <c r="E554" s="13"/>
      <c r="F554" s="13"/>
      <c r="G554" s="10" t="str">
        <f aca="false">IF(AND(E554&lt;&gt;"",F554&lt;&gt;""),E554*F554,"")</f>
        <v/>
      </c>
      <c r="H554" s="13"/>
      <c r="I554" s="12"/>
    </row>
    <row r="555" customFormat="false" ht="15" hidden="false" customHeight="false" outlineLevel="0" collapsed="false">
      <c r="A555" s="11"/>
      <c r="B555" s="12"/>
      <c r="C555" s="12"/>
      <c r="D555" s="13"/>
      <c r="E555" s="13"/>
      <c r="F555" s="13"/>
      <c r="G555" s="10" t="str">
        <f aca="false">IF(AND(E555&lt;&gt;"",F555&lt;&gt;""),E555*F555,"")</f>
        <v/>
      </c>
      <c r="H555" s="13"/>
      <c r="I555" s="12"/>
    </row>
    <row r="556" customFormat="false" ht="15" hidden="false" customHeight="false" outlineLevel="0" collapsed="false">
      <c r="A556" s="11"/>
      <c r="B556" s="12"/>
      <c r="C556" s="12"/>
      <c r="D556" s="13"/>
      <c r="E556" s="13"/>
      <c r="F556" s="13"/>
      <c r="G556" s="10" t="str">
        <f aca="false">IF(AND(E556&lt;&gt;"",F556&lt;&gt;""),E556*F556,"")</f>
        <v/>
      </c>
      <c r="H556" s="13"/>
      <c r="I556" s="12"/>
    </row>
    <row r="557" customFormat="false" ht="15" hidden="false" customHeight="false" outlineLevel="0" collapsed="false">
      <c r="A557" s="11"/>
      <c r="B557" s="12"/>
      <c r="C557" s="12"/>
      <c r="D557" s="13"/>
      <c r="E557" s="13"/>
      <c r="F557" s="13"/>
      <c r="G557" s="10" t="str">
        <f aca="false">IF(AND(E557&lt;&gt;"",F557&lt;&gt;""),E557*F557,"")</f>
        <v/>
      </c>
      <c r="H557" s="13"/>
      <c r="I557" s="12"/>
    </row>
    <row r="558" customFormat="false" ht="15" hidden="false" customHeight="false" outlineLevel="0" collapsed="false">
      <c r="A558" s="11"/>
      <c r="B558" s="12"/>
      <c r="C558" s="12"/>
      <c r="D558" s="13"/>
      <c r="E558" s="13"/>
      <c r="F558" s="13"/>
      <c r="G558" s="10" t="str">
        <f aca="false">IF(AND(E558&lt;&gt;"",F558&lt;&gt;""),E558*F558,"")</f>
        <v/>
      </c>
      <c r="H558" s="13"/>
      <c r="I558" s="12"/>
    </row>
    <row r="559" customFormat="false" ht="15" hidden="false" customHeight="false" outlineLevel="0" collapsed="false">
      <c r="A559" s="11"/>
      <c r="B559" s="12"/>
      <c r="C559" s="12"/>
      <c r="D559" s="13"/>
      <c r="E559" s="13"/>
      <c r="F559" s="13"/>
      <c r="G559" s="10" t="str">
        <f aca="false">IF(AND(E559&lt;&gt;"",F559&lt;&gt;""),E559*F559,"")</f>
        <v/>
      </c>
      <c r="H559" s="13"/>
      <c r="I559" s="12"/>
    </row>
    <row r="560" customFormat="false" ht="15" hidden="false" customHeight="false" outlineLevel="0" collapsed="false">
      <c r="A560" s="11"/>
      <c r="B560" s="12"/>
      <c r="C560" s="12"/>
      <c r="D560" s="13"/>
      <c r="E560" s="13"/>
      <c r="F560" s="13"/>
      <c r="G560" s="10" t="str">
        <f aca="false">IF(AND(E560&lt;&gt;"",F560&lt;&gt;""),E560*F560,"")</f>
        <v/>
      </c>
      <c r="H560" s="13"/>
      <c r="I560" s="12"/>
    </row>
    <row r="561" customFormat="false" ht="15" hidden="false" customHeight="false" outlineLevel="0" collapsed="false">
      <c r="A561" s="11"/>
      <c r="B561" s="12"/>
      <c r="C561" s="12"/>
      <c r="D561" s="13"/>
      <c r="E561" s="13"/>
      <c r="F561" s="13"/>
      <c r="G561" s="10" t="str">
        <f aca="false">IF(AND(E561&lt;&gt;"",F561&lt;&gt;""),E561*F561,"")</f>
        <v/>
      </c>
      <c r="H561" s="13"/>
      <c r="I561" s="12"/>
    </row>
    <row r="562" customFormat="false" ht="15" hidden="false" customHeight="false" outlineLevel="0" collapsed="false">
      <c r="A562" s="11"/>
      <c r="B562" s="12"/>
      <c r="C562" s="12"/>
      <c r="D562" s="13"/>
      <c r="E562" s="13"/>
      <c r="F562" s="13"/>
      <c r="G562" s="10" t="str">
        <f aca="false">IF(AND(E562&lt;&gt;"",F562&lt;&gt;""),E562*F562,"")</f>
        <v/>
      </c>
      <c r="H562" s="13"/>
      <c r="I562" s="12"/>
    </row>
    <row r="563" customFormat="false" ht="15" hidden="false" customHeight="false" outlineLevel="0" collapsed="false">
      <c r="A563" s="11"/>
      <c r="B563" s="12"/>
      <c r="C563" s="12"/>
      <c r="D563" s="13"/>
      <c r="E563" s="13"/>
      <c r="F563" s="13"/>
      <c r="G563" s="10" t="str">
        <f aca="false">IF(AND(E563&lt;&gt;"",F563&lt;&gt;""),E563*F563,"")</f>
        <v/>
      </c>
      <c r="H563" s="13"/>
      <c r="I563" s="12"/>
    </row>
    <row r="564" customFormat="false" ht="15" hidden="false" customHeight="false" outlineLevel="0" collapsed="false">
      <c r="A564" s="11"/>
      <c r="B564" s="12"/>
      <c r="C564" s="12"/>
      <c r="D564" s="13"/>
      <c r="E564" s="13"/>
      <c r="F564" s="13"/>
      <c r="G564" s="10" t="str">
        <f aca="false">IF(AND(E564&lt;&gt;"",F564&lt;&gt;""),E564*F564,"")</f>
        <v/>
      </c>
      <c r="H564" s="13"/>
      <c r="I564" s="12"/>
    </row>
    <row r="565" customFormat="false" ht="15" hidden="false" customHeight="false" outlineLevel="0" collapsed="false">
      <c r="A565" s="11"/>
      <c r="B565" s="12"/>
      <c r="C565" s="12"/>
      <c r="D565" s="13"/>
      <c r="E565" s="13"/>
      <c r="F565" s="13"/>
      <c r="G565" s="10" t="str">
        <f aca="false">IF(AND(E565&lt;&gt;"",F565&lt;&gt;""),E565*F565,"")</f>
        <v/>
      </c>
      <c r="H565" s="13"/>
      <c r="I565" s="12"/>
    </row>
    <row r="566" customFormat="false" ht="15" hidden="false" customHeight="false" outlineLevel="0" collapsed="false">
      <c r="A566" s="11"/>
      <c r="B566" s="12"/>
      <c r="C566" s="12"/>
      <c r="D566" s="13"/>
      <c r="E566" s="13"/>
      <c r="F566" s="13"/>
      <c r="G566" s="10" t="str">
        <f aca="false">IF(AND(E566&lt;&gt;"",F566&lt;&gt;""),E566*F566,"")</f>
        <v/>
      </c>
      <c r="H566" s="13"/>
      <c r="I566" s="12"/>
    </row>
    <row r="567" customFormat="false" ht="15" hidden="false" customHeight="false" outlineLevel="0" collapsed="false">
      <c r="A567" s="11"/>
      <c r="B567" s="12"/>
      <c r="C567" s="12"/>
      <c r="D567" s="13"/>
      <c r="E567" s="13"/>
      <c r="F567" s="13"/>
      <c r="G567" s="10" t="str">
        <f aca="false">IF(AND(E567&lt;&gt;"",F567&lt;&gt;""),E567*F567,"")</f>
        <v/>
      </c>
      <c r="H567" s="13"/>
      <c r="I567" s="12"/>
    </row>
    <row r="568" customFormat="false" ht="15" hidden="false" customHeight="false" outlineLevel="0" collapsed="false">
      <c r="A568" s="11"/>
      <c r="B568" s="12"/>
      <c r="C568" s="12"/>
      <c r="D568" s="13"/>
      <c r="E568" s="13"/>
      <c r="F568" s="13"/>
      <c r="G568" s="10" t="str">
        <f aca="false">IF(AND(E568&lt;&gt;"",F568&lt;&gt;""),E568*F568,"")</f>
        <v/>
      </c>
      <c r="H568" s="13"/>
      <c r="I568" s="12"/>
    </row>
    <row r="569" customFormat="false" ht="15" hidden="false" customHeight="false" outlineLevel="0" collapsed="false">
      <c r="A569" s="11"/>
      <c r="B569" s="12"/>
      <c r="C569" s="12"/>
      <c r="D569" s="13"/>
      <c r="E569" s="13"/>
      <c r="F569" s="13"/>
      <c r="G569" s="10" t="str">
        <f aca="false">IF(AND(E569&lt;&gt;"",F569&lt;&gt;""),E569*F569,"")</f>
        <v/>
      </c>
      <c r="H569" s="13"/>
      <c r="I569" s="12"/>
    </row>
    <row r="570" customFormat="false" ht="15" hidden="false" customHeight="false" outlineLevel="0" collapsed="false">
      <c r="A570" s="11"/>
      <c r="B570" s="12"/>
      <c r="C570" s="12"/>
      <c r="D570" s="13"/>
      <c r="E570" s="13"/>
      <c r="F570" s="13"/>
      <c r="G570" s="10" t="str">
        <f aca="false">IF(AND(E570&lt;&gt;"",F570&lt;&gt;""),E570*F570,"")</f>
        <v/>
      </c>
      <c r="H570" s="13"/>
      <c r="I570" s="12"/>
    </row>
    <row r="571" customFormat="false" ht="15" hidden="false" customHeight="false" outlineLevel="0" collapsed="false">
      <c r="A571" s="11"/>
      <c r="B571" s="12"/>
      <c r="C571" s="12"/>
      <c r="D571" s="13"/>
      <c r="E571" s="13"/>
      <c r="F571" s="13"/>
      <c r="G571" s="10" t="str">
        <f aca="false">IF(AND(E571&lt;&gt;"",F571&lt;&gt;""),E571*F571,"")</f>
        <v/>
      </c>
      <c r="H571" s="13"/>
      <c r="I571" s="12"/>
    </row>
    <row r="572" customFormat="false" ht="15" hidden="false" customHeight="false" outlineLevel="0" collapsed="false">
      <c r="A572" s="11"/>
      <c r="B572" s="12"/>
      <c r="C572" s="12"/>
      <c r="D572" s="13"/>
      <c r="E572" s="13"/>
      <c r="F572" s="13"/>
      <c r="G572" s="10" t="str">
        <f aca="false">IF(AND(E572&lt;&gt;"",F572&lt;&gt;""),E572*F572,"")</f>
        <v/>
      </c>
      <c r="H572" s="13"/>
      <c r="I572" s="12"/>
    </row>
    <row r="573" customFormat="false" ht="15" hidden="false" customHeight="false" outlineLevel="0" collapsed="false">
      <c r="A573" s="11"/>
      <c r="B573" s="12"/>
      <c r="C573" s="12"/>
      <c r="D573" s="13"/>
      <c r="E573" s="13"/>
      <c r="F573" s="13"/>
      <c r="G573" s="10" t="str">
        <f aca="false">IF(AND(E573&lt;&gt;"",F573&lt;&gt;""),E573*F573,"")</f>
        <v/>
      </c>
      <c r="H573" s="13"/>
      <c r="I573" s="12"/>
    </row>
    <row r="574" customFormat="false" ht="15" hidden="false" customHeight="false" outlineLevel="0" collapsed="false">
      <c r="A574" s="11"/>
      <c r="B574" s="12"/>
      <c r="C574" s="12"/>
      <c r="D574" s="13"/>
      <c r="E574" s="13"/>
      <c r="F574" s="13"/>
      <c r="G574" s="10" t="str">
        <f aca="false">IF(AND(E574&lt;&gt;"",F574&lt;&gt;""),E574*F574,"")</f>
        <v/>
      </c>
      <c r="H574" s="13"/>
      <c r="I574" s="12"/>
    </row>
    <row r="575" customFormat="false" ht="15" hidden="false" customHeight="false" outlineLevel="0" collapsed="false">
      <c r="A575" s="11"/>
      <c r="B575" s="12"/>
      <c r="C575" s="12"/>
      <c r="D575" s="13"/>
      <c r="E575" s="13"/>
      <c r="F575" s="13"/>
      <c r="G575" s="10" t="str">
        <f aca="false">IF(AND(E575&lt;&gt;"",F575&lt;&gt;""),E575*F575,"")</f>
        <v/>
      </c>
      <c r="H575" s="13"/>
      <c r="I575" s="12"/>
    </row>
    <row r="576" customFormat="false" ht="15" hidden="false" customHeight="false" outlineLevel="0" collapsed="false">
      <c r="A576" s="11"/>
      <c r="B576" s="12"/>
      <c r="C576" s="12"/>
      <c r="D576" s="13"/>
      <c r="E576" s="13"/>
      <c r="F576" s="13"/>
      <c r="G576" s="10" t="str">
        <f aca="false">IF(AND(E576&lt;&gt;"",F576&lt;&gt;""),E576*F576,"")</f>
        <v/>
      </c>
      <c r="H576" s="13"/>
      <c r="I576" s="12"/>
    </row>
    <row r="577" customFormat="false" ht="15" hidden="false" customHeight="false" outlineLevel="0" collapsed="false">
      <c r="A577" s="11"/>
      <c r="B577" s="12"/>
      <c r="C577" s="12"/>
      <c r="D577" s="13"/>
      <c r="E577" s="13"/>
      <c r="F577" s="13"/>
      <c r="G577" s="10" t="str">
        <f aca="false">IF(AND(E577&lt;&gt;"",F577&lt;&gt;""),E577*F577,"")</f>
        <v/>
      </c>
      <c r="H577" s="13"/>
      <c r="I577" s="12"/>
    </row>
    <row r="578" customFormat="false" ht="15" hidden="false" customHeight="false" outlineLevel="0" collapsed="false">
      <c r="A578" s="11"/>
      <c r="B578" s="12"/>
      <c r="C578" s="12"/>
      <c r="D578" s="13"/>
      <c r="E578" s="13"/>
      <c r="F578" s="13"/>
      <c r="G578" s="10" t="str">
        <f aca="false">IF(AND(E578&lt;&gt;"",F578&lt;&gt;""),E578*F578,"")</f>
        <v/>
      </c>
      <c r="H578" s="13"/>
      <c r="I578" s="12"/>
    </row>
    <row r="579" customFormat="false" ht="15" hidden="false" customHeight="false" outlineLevel="0" collapsed="false">
      <c r="A579" s="11"/>
      <c r="B579" s="12"/>
      <c r="C579" s="12"/>
      <c r="D579" s="13"/>
      <c r="E579" s="13"/>
      <c r="F579" s="13"/>
      <c r="G579" s="10" t="str">
        <f aca="false">IF(AND(E579&lt;&gt;"",F579&lt;&gt;""),E579*F579,"")</f>
        <v/>
      </c>
      <c r="H579" s="13"/>
      <c r="I579" s="12"/>
    </row>
    <row r="580" customFormat="false" ht="15" hidden="false" customHeight="false" outlineLevel="0" collapsed="false">
      <c r="A580" s="11"/>
      <c r="B580" s="12"/>
      <c r="C580" s="12"/>
      <c r="D580" s="13"/>
      <c r="E580" s="13"/>
      <c r="F580" s="13"/>
      <c r="G580" s="10" t="str">
        <f aca="false">IF(AND(E580&lt;&gt;"",F580&lt;&gt;""),E580*F580,"")</f>
        <v/>
      </c>
      <c r="H580" s="13"/>
      <c r="I580" s="12"/>
    </row>
    <row r="581" customFormat="false" ht="15" hidden="false" customHeight="false" outlineLevel="0" collapsed="false">
      <c r="A581" s="11"/>
      <c r="B581" s="12"/>
      <c r="C581" s="12"/>
      <c r="D581" s="13"/>
      <c r="E581" s="13"/>
      <c r="F581" s="13"/>
      <c r="G581" s="10" t="str">
        <f aca="false">IF(AND(E581&lt;&gt;"",F581&lt;&gt;""),E581*F581,"")</f>
        <v/>
      </c>
      <c r="H581" s="13"/>
      <c r="I581" s="12"/>
    </row>
    <row r="582" customFormat="false" ht="15" hidden="false" customHeight="false" outlineLevel="0" collapsed="false">
      <c r="A582" s="11"/>
      <c r="B582" s="12"/>
      <c r="C582" s="12"/>
      <c r="D582" s="13"/>
      <c r="E582" s="13"/>
      <c r="F582" s="13"/>
      <c r="G582" s="10" t="str">
        <f aca="false">IF(AND(E582&lt;&gt;"",F582&lt;&gt;""),E582*F582,"")</f>
        <v/>
      </c>
      <c r="H582" s="13"/>
      <c r="I582" s="12"/>
    </row>
    <row r="583" customFormat="false" ht="15" hidden="false" customHeight="false" outlineLevel="0" collapsed="false">
      <c r="A583" s="11"/>
      <c r="B583" s="12"/>
      <c r="C583" s="12"/>
      <c r="D583" s="13"/>
      <c r="E583" s="13"/>
      <c r="F583" s="13"/>
      <c r="G583" s="10" t="str">
        <f aca="false">IF(AND(E583&lt;&gt;"",F583&lt;&gt;""),E583*F583,"")</f>
        <v/>
      </c>
      <c r="H583" s="13"/>
      <c r="I583" s="12"/>
    </row>
    <row r="584" customFormat="false" ht="15" hidden="false" customHeight="false" outlineLevel="0" collapsed="false">
      <c r="A584" s="11"/>
      <c r="B584" s="12"/>
      <c r="C584" s="12"/>
      <c r="D584" s="13"/>
      <c r="E584" s="13"/>
      <c r="F584" s="13"/>
      <c r="G584" s="10" t="str">
        <f aca="false">IF(AND(E584&lt;&gt;"",F584&lt;&gt;""),E584*F584,"")</f>
        <v/>
      </c>
      <c r="H584" s="13"/>
      <c r="I584" s="12"/>
    </row>
    <row r="585" customFormat="false" ht="15" hidden="false" customHeight="false" outlineLevel="0" collapsed="false">
      <c r="A585" s="11"/>
      <c r="B585" s="12"/>
      <c r="C585" s="12"/>
      <c r="D585" s="13"/>
      <c r="E585" s="13"/>
      <c r="F585" s="13"/>
      <c r="G585" s="10" t="str">
        <f aca="false">IF(AND(E585&lt;&gt;"",F585&lt;&gt;""),E585*F585,"")</f>
        <v/>
      </c>
      <c r="H585" s="13"/>
      <c r="I585" s="12"/>
    </row>
    <row r="586" customFormat="false" ht="15" hidden="false" customHeight="false" outlineLevel="0" collapsed="false">
      <c r="A586" s="11"/>
      <c r="B586" s="12"/>
      <c r="C586" s="12"/>
      <c r="D586" s="13"/>
      <c r="E586" s="13"/>
      <c r="F586" s="13"/>
      <c r="G586" s="10" t="str">
        <f aca="false">IF(AND(E586&lt;&gt;"",F586&lt;&gt;""),E586*F586,"")</f>
        <v/>
      </c>
      <c r="H586" s="13"/>
      <c r="I586" s="12"/>
    </row>
    <row r="587" customFormat="false" ht="15" hidden="false" customHeight="false" outlineLevel="0" collapsed="false">
      <c r="A587" s="11"/>
      <c r="B587" s="12"/>
      <c r="C587" s="12"/>
      <c r="D587" s="13"/>
      <c r="E587" s="13"/>
      <c r="F587" s="13"/>
      <c r="G587" s="10" t="str">
        <f aca="false">IF(AND(E587&lt;&gt;"",F587&lt;&gt;""),E587*F587,"")</f>
        <v/>
      </c>
      <c r="H587" s="13"/>
      <c r="I587" s="12"/>
    </row>
    <row r="588" customFormat="false" ht="15" hidden="false" customHeight="false" outlineLevel="0" collapsed="false">
      <c r="A588" s="11"/>
      <c r="B588" s="12"/>
      <c r="C588" s="12"/>
      <c r="D588" s="13"/>
      <c r="E588" s="13"/>
      <c r="F588" s="13"/>
      <c r="G588" s="10" t="str">
        <f aca="false">IF(AND(E588&lt;&gt;"",F588&lt;&gt;""),E588*F588,"")</f>
        <v/>
      </c>
      <c r="H588" s="13"/>
      <c r="I588" s="12"/>
    </row>
    <row r="589" customFormat="false" ht="15" hidden="false" customHeight="false" outlineLevel="0" collapsed="false">
      <c r="A589" s="11"/>
      <c r="B589" s="12"/>
      <c r="C589" s="12"/>
      <c r="D589" s="13"/>
      <c r="E589" s="13"/>
      <c r="F589" s="13"/>
      <c r="G589" s="10" t="str">
        <f aca="false">IF(AND(E589&lt;&gt;"",F589&lt;&gt;""),E589*F589,"")</f>
        <v/>
      </c>
      <c r="H589" s="13"/>
      <c r="I589" s="12"/>
    </row>
    <row r="590" customFormat="false" ht="15" hidden="false" customHeight="false" outlineLevel="0" collapsed="false">
      <c r="A590" s="11"/>
      <c r="B590" s="12"/>
      <c r="C590" s="12"/>
      <c r="D590" s="13"/>
      <c r="E590" s="13"/>
      <c r="F590" s="13"/>
      <c r="G590" s="10" t="str">
        <f aca="false">IF(AND(E590&lt;&gt;"",F590&lt;&gt;""),E590*F590,"")</f>
        <v/>
      </c>
      <c r="H590" s="13"/>
      <c r="I590" s="12"/>
    </row>
    <row r="591" customFormat="false" ht="15" hidden="false" customHeight="false" outlineLevel="0" collapsed="false">
      <c r="A591" s="11"/>
      <c r="B591" s="12"/>
      <c r="C591" s="12"/>
      <c r="D591" s="13"/>
      <c r="E591" s="13"/>
      <c r="F591" s="13"/>
      <c r="G591" s="10" t="str">
        <f aca="false">IF(AND(E591&lt;&gt;"",F591&lt;&gt;""),E591*F591,"")</f>
        <v/>
      </c>
      <c r="H591" s="13"/>
      <c r="I591" s="12"/>
    </row>
    <row r="592" customFormat="false" ht="15" hidden="false" customHeight="false" outlineLevel="0" collapsed="false">
      <c r="A592" s="11"/>
      <c r="B592" s="12"/>
      <c r="C592" s="12"/>
      <c r="D592" s="13"/>
      <c r="E592" s="13"/>
      <c r="F592" s="13"/>
      <c r="G592" s="10" t="str">
        <f aca="false">IF(AND(E592&lt;&gt;"",F592&lt;&gt;""),E592*F592,"")</f>
        <v/>
      </c>
      <c r="H592" s="13"/>
      <c r="I592" s="12"/>
    </row>
    <row r="593" customFormat="false" ht="15" hidden="false" customHeight="false" outlineLevel="0" collapsed="false">
      <c r="A593" s="11"/>
      <c r="B593" s="12"/>
      <c r="C593" s="12"/>
      <c r="D593" s="13"/>
      <c r="E593" s="13"/>
      <c r="F593" s="13"/>
      <c r="G593" s="10" t="str">
        <f aca="false">IF(AND(E593&lt;&gt;"",F593&lt;&gt;""),E593*F593,"")</f>
        <v/>
      </c>
      <c r="H593" s="13"/>
      <c r="I593" s="12"/>
    </row>
    <row r="594" customFormat="false" ht="15" hidden="false" customHeight="false" outlineLevel="0" collapsed="false">
      <c r="A594" s="11"/>
      <c r="B594" s="12"/>
      <c r="C594" s="12"/>
      <c r="D594" s="13"/>
      <c r="E594" s="13"/>
      <c r="F594" s="13"/>
      <c r="G594" s="10" t="str">
        <f aca="false">IF(AND(E594&lt;&gt;"",F594&lt;&gt;""),E594*F594,"")</f>
        <v/>
      </c>
      <c r="H594" s="13"/>
      <c r="I594" s="12"/>
    </row>
    <row r="595" customFormat="false" ht="15" hidden="false" customHeight="false" outlineLevel="0" collapsed="false">
      <c r="A595" s="11"/>
      <c r="B595" s="12"/>
      <c r="C595" s="12"/>
      <c r="D595" s="13"/>
      <c r="E595" s="13"/>
      <c r="F595" s="13"/>
      <c r="G595" s="10" t="str">
        <f aca="false">IF(AND(E595&lt;&gt;"",F595&lt;&gt;""),E595*F595,"")</f>
        <v/>
      </c>
      <c r="H595" s="13"/>
      <c r="I595" s="12"/>
    </row>
    <row r="596" customFormat="false" ht="15" hidden="false" customHeight="false" outlineLevel="0" collapsed="false">
      <c r="A596" s="11"/>
      <c r="B596" s="12"/>
      <c r="C596" s="12"/>
      <c r="D596" s="13"/>
      <c r="E596" s="13"/>
      <c r="F596" s="13"/>
      <c r="G596" s="10" t="str">
        <f aca="false">IF(AND(E596&lt;&gt;"",F596&lt;&gt;""),E596*F596,"")</f>
        <v/>
      </c>
      <c r="H596" s="13"/>
      <c r="I596" s="12"/>
    </row>
    <row r="597" customFormat="false" ht="15" hidden="false" customHeight="false" outlineLevel="0" collapsed="false">
      <c r="A597" s="11"/>
      <c r="B597" s="12"/>
      <c r="C597" s="12"/>
      <c r="D597" s="13"/>
      <c r="E597" s="13"/>
      <c r="F597" s="13"/>
      <c r="G597" s="10" t="str">
        <f aca="false">IF(AND(E597&lt;&gt;"",F597&lt;&gt;""),E597*F597,"")</f>
        <v/>
      </c>
      <c r="H597" s="13"/>
      <c r="I597" s="12"/>
    </row>
    <row r="598" customFormat="false" ht="15" hidden="false" customHeight="false" outlineLevel="0" collapsed="false">
      <c r="A598" s="11"/>
      <c r="B598" s="12"/>
      <c r="C598" s="12"/>
      <c r="D598" s="13"/>
      <c r="E598" s="13"/>
      <c r="F598" s="13"/>
      <c r="G598" s="10" t="str">
        <f aca="false">IF(AND(E598&lt;&gt;"",F598&lt;&gt;""),E598*F598,"")</f>
        <v/>
      </c>
      <c r="H598" s="13"/>
      <c r="I598" s="12"/>
    </row>
    <row r="599" customFormat="false" ht="15" hidden="false" customHeight="false" outlineLevel="0" collapsed="false">
      <c r="A599" s="11"/>
      <c r="B599" s="12"/>
      <c r="C599" s="12"/>
      <c r="D599" s="13"/>
      <c r="E599" s="13"/>
      <c r="F599" s="13"/>
      <c r="G599" s="10" t="str">
        <f aca="false">IF(AND(E599&lt;&gt;"",F599&lt;&gt;""),E599*F599,"")</f>
        <v/>
      </c>
      <c r="H599" s="13"/>
      <c r="I599" s="12"/>
    </row>
    <row r="600" customFormat="false" ht="15" hidden="false" customHeight="false" outlineLevel="0" collapsed="false">
      <c r="A600" s="11"/>
      <c r="B600" s="12"/>
      <c r="C600" s="12"/>
      <c r="D600" s="13"/>
      <c r="E600" s="13"/>
      <c r="F600" s="13"/>
      <c r="G600" s="10" t="str">
        <f aca="false">IF(AND(E600&lt;&gt;"",F600&lt;&gt;""),E600*F600,"")</f>
        <v/>
      </c>
      <c r="H600" s="13"/>
      <c r="I600" s="12"/>
    </row>
    <row r="601" customFormat="false" ht="15" hidden="false" customHeight="false" outlineLevel="0" collapsed="false">
      <c r="A601" s="11"/>
      <c r="B601" s="12"/>
      <c r="C601" s="12"/>
      <c r="D601" s="13"/>
      <c r="E601" s="13"/>
      <c r="F601" s="13"/>
      <c r="G601" s="10" t="str">
        <f aca="false">IF(AND(E601&lt;&gt;"",F601&lt;&gt;""),E601*F601,"")</f>
        <v/>
      </c>
      <c r="H601" s="13"/>
      <c r="I601" s="12"/>
    </row>
    <row r="602" customFormat="false" ht="15" hidden="false" customHeight="false" outlineLevel="0" collapsed="false">
      <c r="A602" s="11"/>
      <c r="B602" s="12"/>
      <c r="C602" s="12"/>
      <c r="D602" s="13"/>
      <c r="E602" s="13"/>
      <c r="F602" s="13"/>
      <c r="G602" s="10" t="str">
        <f aca="false">IF(AND(E602&lt;&gt;"",F602&lt;&gt;""),E602*F602,"")</f>
        <v/>
      </c>
      <c r="H602" s="13"/>
      <c r="I602" s="12"/>
    </row>
    <row r="603" customFormat="false" ht="15" hidden="false" customHeight="false" outlineLevel="0" collapsed="false">
      <c r="A603" s="11"/>
      <c r="B603" s="12"/>
      <c r="C603" s="12"/>
      <c r="D603" s="13"/>
      <c r="E603" s="13"/>
      <c r="F603" s="13"/>
      <c r="G603" s="10" t="str">
        <f aca="false">IF(AND(E603&lt;&gt;"",F603&lt;&gt;""),E603*F603,"")</f>
        <v/>
      </c>
      <c r="H603" s="13"/>
      <c r="I603" s="12"/>
    </row>
    <row r="604" customFormat="false" ht="15" hidden="false" customHeight="false" outlineLevel="0" collapsed="false">
      <c r="A604" s="11"/>
      <c r="B604" s="12"/>
      <c r="C604" s="12"/>
      <c r="D604" s="13"/>
      <c r="E604" s="13"/>
      <c r="F604" s="13"/>
      <c r="G604" s="10" t="str">
        <f aca="false">IF(AND(E604&lt;&gt;"",F604&lt;&gt;""),E604*F604,"")</f>
        <v/>
      </c>
      <c r="H604" s="13"/>
      <c r="I604" s="12"/>
    </row>
    <row r="605" customFormat="false" ht="15" hidden="false" customHeight="false" outlineLevel="0" collapsed="false">
      <c r="A605" s="11"/>
      <c r="B605" s="12"/>
      <c r="C605" s="12"/>
      <c r="D605" s="13"/>
      <c r="E605" s="13"/>
      <c r="F605" s="13"/>
      <c r="G605" s="10" t="str">
        <f aca="false">IF(AND(E605&lt;&gt;"",F605&lt;&gt;""),E605*F605,"")</f>
        <v/>
      </c>
      <c r="H605" s="13"/>
      <c r="I605" s="12"/>
    </row>
    <row r="606" customFormat="false" ht="15" hidden="false" customHeight="false" outlineLevel="0" collapsed="false">
      <c r="A606" s="11"/>
      <c r="B606" s="12"/>
      <c r="C606" s="12"/>
      <c r="D606" s="13"/>
      <c r="E606" s="13"/>
      <c r="F606" s="13"/>
      <c r="G606" s="10" t="str">
        <f aca="false">IF(AND(E606&lt;&gt;"",F606&lt;&gt;""),E606*F606,"")</f>
        <v/>
      </c>
      <c r="H606" s="13"/>
      <c r="I606" s="12"/>
    </row>
    <row r="607" customFormat="false" ht="15" hidden="false" customHeight="false" outlineLevel="0" collapsed="false">
      <c r="A607" s="11"/>
      <c r="B607" s="12"/>
      <c r="C607" s="12"/>
      <c r="D607" s="13"/>
      <c r="E607" s="13"/>
      <c r="F607" s="13"/>
      <c r="G607" s="10" t="str">
        <f aca="false">IF(AND(E607&lt;&gt;"",F607&lt;&gt;""),E607*F607,"")</f>
        <v/>
      </c>
      <c r="H607" s="13"/>
      <c r="I607" s="12"/>
    </row>
    <row r="608" customFormat="false" ht="15" hidden="false" customHeight="false" outlineLevel="0" collapsed="false">
      <c r="A608" s="11"/>
      <c r="B608" s="12"/>
      <c r="C608" s="12"/>
      <c r="D608" s="13"/>
      <c r="E608" s="13"/>
      <c r="F608" s="13"/>
      <c r="G608" s="10" t="str">
        <f aca="false">IF(AND(E608&lt;&gt;"",F608&lt;&gt;""),E608*F608,"")</f>
        <v/>
      </c>
      <c r="H608" s="13"/>
      <c r="I608" s="12"/>
    </row>
    <row r="609" customFormat="false" ht="15" hidden="false" customHeight="false" outlineLevel="0" collapsed="false">
      <c r="A609" s="11"/>
      <c r="B609" s="12"/>
      <c r="C609" s="12"/>
      <c r="D609" s="13"/>
      <c r="E609" s="13"/>
      <c r="F609" s="13"/>
      <c r="G609" s="10" t="str">
        <f aca="false">IF(AND(E609&lt;&gt;"",F609&lt;&gt;""),E609*F609,"")</f>
        <v/>
      </c>
      <c r="H609" s="13"/>
      <c r="I609" s="12"/>
    </row>
    <row r="610" customFormat="false" ht="15" hidden="false" customHeight="false" outlineLevel="0" collapsed="false">
      <c r="A610" s="11"/>
      <c r="B610" s="12"/>
      <c r="C610" s="12"/>
      <c r="D610" s="13"/>
      <c r="E610" s="13"/>
      <c r="F610" s="13"/>
      <c r="G610" s="10" t="str">
        <f aca="false">IF(AND(E610&lt;&gt;"",F610&lt;&gt;""),E610*F610,"")</f>
        <v/>
      </c>
      <c r="H610" s="13"/>
      <c r="I610" s="12"/>
    </row>
    <row r="611" customFormat="false" ht="15" hidden="false" customHeight="false" outlineLevel="0" collapsed="false">
      <c r="A611" s="11"/>
      <c r="B611" s="12"/>
      <c r="C611" s="12"/>
      <c r="D611" s="13"/>
      <c r="E611" s="13"/>
      <c r="F611" s="13"/>
      <c r="G611" s="10" t="str">
        <f aca="false">IF(AND(E611&lt;&gt;"",F611&lt;&gt;""),E611*F611,"")</f>
        <v/>
      </c>
      <c r="H611" s="13"/>
      <c r="I611" s="12"/>
    </row>
    <row r="612" customFormat="false" ht="15" hidden="false" customHeight="false" outlineLevel="0" collapsed="false">
      <c r="A612" s="11"/>
      <c r="B612" s="12"/>
      <c r="C612" s="12"/>
      <c r="D612" s="13"/>
      <c r="E612" s="13"/>
      <c r="F612" s="13"/>
      <c r="G612" s="10" t="str">
        <f aca="false">IF(AND(E612&lt;&gt;"",F612&lt;&gt;""),E612*F612,"")</f>
        <v/>
      </c>
      <c r="H612" s="13"/>
      <c r="I612" s="12"/>
    </row>
    <row r="613" customFormat="false" ht="15" hidden="false" customHeight="false" outlineLevel="0" collapsed="false">
      <c r="A613" s="11"/>
      <c r="B613" s="12"/>
      <c r="C613" s="12"/>
      <c r="D613" s="13"/>
      <c r="E613" s="13"/>
      <c r="F613" s="13"/>
      <c r="G613" s="10" t="str">
        <f aca="false">IF(AND(E613&lt;&gt;"",F613&lt;&gt;""),E613*F613,"")</f>
        <v/>
      </c>
      <c r="H613" s="13"/>
      <c r="I613" s="12"/>
    </row>
    <row r="614" customFormat="false" ht="15" hidden="false" customHeight="false" outlineLevel="0" collapsed="false">
      <c r="A614" s="11"/>
      <c r="B614" s="12"/>
      <c r="C614" s="12"/>
      <c r="D614" s="13"/>
      <c r="E614" s="13"/>
      <c r="F614" s="13"/>
      <c r="G614" s="10" t="str">
        <f aca="false">IF(AND(E614&lt;&gt;"",F614&lt;&gt;""),E614*F614,"")</f>
        <v/>
      </c>
      <c r="H614" s="13"/>
      <c r="I614" s="12"/>
    </row>
    <row r="615" customFormat="false" ht="15" hidden="false" customHeight="false" outlineLevel="0" collapsed="false">
      <c r="A615" s="11"/>
      <c r="B615" s="12"/>
      <c r="C615" s="12"/>
      <c r="D615" s="13"/>
      <c r="E615" s="13"/>
      <c r="F615" s="13"/>
      <c r="G615" s="10" t="str">
        <f aca="false">IF(AND(E615&lt;&gt;"",F615&lt;&gt;""),E615*F615,"")</f>
        <v/>
      </c>
      <c r="H615" s="13"/>
      <c r="I615" s="12"/>
    </row>
    <row r="616" customFormat="false" ht="15" hidden="false" customHeight="false" outlineLevel="0" collapsed="false">
      <c r="A616" s="11"/>
      <c r="B616" s="12"/>
      <c r="C616" s="12"/>
      <c r="D616" s="13"/>
      <c r="E616" s="13"/>
      <c r="F616" s="13"/>
      <c r="G616" s="10" t="str">
        <f aca="false">IF(AND(E616&lt;&gt;"",F616&lt;&gt;""),E616*F616,"")</f>
        <v/>
      </c>
      <c r="H616" s="13"/>
      <c r="I616" s="12"/>
    </row>
    <row r="617" customFormat="false" ht="15" hidden="false" customHeight="false" outlineLevel="0" collapsed="false">
      <c r="A617" s="11"/>
      <c r="B617" s="12"/>
      <c r="C617" s="12"/>
      <c r="D617" s="13"/>
      <c r="E617" s="13"/>
      <c r="F617" s="13"/>
      <c r="G617" s="10" t="str">
        <f aca="false">IF(AND(E617&lt;&gt;"",F617&lt;&gt;""),E617*F617,"")</f>
        <v/>
      </c>
      <c r="H617" s="13"/>
      <c r="I617" s="12"/>
    </row>
    <row r="618" customFormat="false" ht="15" hidden="false" customHeight="false" outlineLevel="0" collapsed="false">
      <c r="A618" s="11"/>
      <c r="B618" s="12"/>
      <c r="C618" s="12"/>
      <c r="D618" s="13"/>
      <c r="E618" s="13"/>
      <c r="F618" s="13"/>
      <c r="G618" s="10" t="str">
        <f aca="false">IF(AND(E618&lt;&gt;"",F618&lt;&gt;""),E618*F618,"")</f>
        <v/>
      </c>
      <c r="H618" s="13"/>
      <c r="I618" s="12"/>
    </row>
    <row r="619" customFormat="false" ht="15" hidden="false" customHeight="false" outlineLevel="0" collapsed="false">
      <c r="A619" s="11"/>
      <c r="B619" s="12"/>
      <c r="C619" s="12"/>
      <c r="D619" s="13"/>
      <c r="E619" s="13"/>
      <c r="F619" s="13"/>
      <c r="G619" s="10" t="str">
        <f aca="false">IF(AND(E619&lt;&gt;"",F619&lt;&gt;""),E619*F619,"")</f>
        <v/>
      </c>
      <c r="H619" s="13"/>
      <c r="I619" s="12"/>
    </row>
    <row r="620" customFormat="false" ht="15" hidden="false" customHeight="false" outlineLevel="0" collapsed="false">
      <c r="A620" s="11"/>
      <c r="B620" s="12"/>
      <c r="C620" s="12"/>
      <c r="D620" s="13"/>
      <c r="E620" s="13"/>
      <c r="F620" s="13"/>
      <c r="G620" s="10" t="str">
        <f aca="false">IF(AND(E620&lt;&gt;"",F620&lt;&gt;""),E620*F620,"")</f>
        <v/>
      </c>
      <c r="H620" s="13"/>
      <c r="I620" s="12"/>
    </row>
    <row r="621" customFormat="false" ht="15" hidden="false" customHeight="false" outlineLevel="0" collapsed="false">
      <c r="A621" s="11"/>
      <c r="B621" s="12"/>
      <c r="C621" s="12"/>
      <c r="D621" s="13"/>
      <c r="E621" s="13"/>
      <c r="F621" s="13"/>
      <c r="G621" s="10" t="str">
        <f aca="false">IF(AND(E621&lt;&gt;"",F621&lt;&gt;""),E621*F621,"")</f>
        <v/>
      </c>
      <c r="H621" s="13"/>
      <c r="I621" s="12"/>
    </row>
    <row r="622" customFormat="false" ht="15" hidden="false" customHeight="false" outlineLevel="0" collapsed="false">
      <c r="A622" s="11"/>
      <c r="B622" s="12"/>
      <c r="C622" s="12"/>
      <c r="D622" s="13"/>
      <c r="E622" s="13"/>
      <c r="F622" s="13"/>
      <c r="G622" s="10" t="str">
        <f aca="false">IF(AND(E622&lt;&gt;"",F622&lt;&gt;""),E622*F622,"")</f>
        <v/>
      </c>
      <c r="H622" s="13"/>
      <c r="I622" s="12"/>
    </row>
    <row r="623" customFormat="false" ht="15" hidden="false" customHeight="false" outlineLevel="0" collapsed="false">
      <c r="A623" s="11"/>
      <c r="B623" s="12"/>
      <c r="C623" s="12"/>
      <c r="D623" s="13"/>
      <c r="E623" s="13"/>
      <c r="F623" s="13"/>
      <c r="G623" s="10" t="str">
        <f aca="false">IF(AND(E623&lt;&gt;"",F623&lt;&gt;""),E623*F623,"")</f>
        <v/>
      </c>
      <c r="H623" s="13"/>
      <c r="I623" s="12"/>
    </row>
    <row r="624" customFormat="false" ht="15" hidden="false" customHeight="false" outlineLevel="0" collapsed="false">
      <c r="A624" s="11"/>
      <c r="B624" s="12"/>
      <c r="C624" s="12"/>
      <c r="D624" s="13"/>
      <c r="E624" s="13"/>
      <c r="F624" s="13"/>
      <c r="G624" s="10" t="str">
        <f aca="false">IF(AND(E624&lt;&gt;"",F624&lt;&gt;""),E624*F624,"")</f>
        <v/>
      </c>
      <c r="H624" s="13"/>
      <c r="I624" s="12"/>
    </row>
    <row r="625" customFormat="false" ht="15" hidden="false" customHeight="false" outlineLevel="0" collapsed="false">
      <c r="A625" s="11"/>
      <c r="B625" s="12"/>
      <c r="C625" s="12"/>
      <c r="D625" s="13"/>
      <c r="E625" s="13"/>
      <c r="F625" s="13"/>
      <c r="G625" s="10" t="str">
        <f aca="false">IF(AND(E625&lt;&gt;"",F625&lt;&gt;""),E625*F625,"")</f>
        <v/>
      </c>
      <c r="H625" s="13"/>
      <c r="I625" s="12"/>
    </row>
    <row r="626" customFormat="false" ht="15" hidden="false" customHeight="false" outlineLevel="0" collapsed="false">
      <c r="A626" s="11"/>
      <c r="B626" s="12"/>
      <c r="C626" s="12"/>
      <c r="D626" s="13"/>
      <c r="E626" s="13"/>
      <c r="F626" s="13"/>
      <c r="G626" s="10" t="str">
        <f aca="false">IF(AND(E626&lt;&gt;"",F626&lt;&gt;""),E626*F626,"")</f>
        <v/>
      </c>
      <c r="H626" s="13"/>
      <c r="I626" s="12"/>
    </row>
    <row r="627" customFormat="false" ht="15" hidden="false" customHeight="false" outlineLevel="0" collapsed="false">
      <c r="A627" s="11"/>
      <c r="B627" s="12"/>
      <c r="C627" s="12"/>
      <c r="D627" s="13"/>
      <c r="E627" s="13"/>
      <c r="F627" s="13"/>
      <c r="G627" s="10" t="str">
        <f aca="false">IF(AND(E627&lt;&gt;"",F627&lt;&gt;""),E627*F627,"")</f>
        <v/>
      </c>
      <c r="H627" s="13"/>
      <c r="I627" s="12"/>
    </row>
    <row r="628" customFormat="false" ht="15" hidden="false" customHeight="false" outlineLevel="0" collapsed="false">
      <c r="A628" s="11"/>
      <c r="B628" s="12"/>
      <c r="C628" s="12"/>
      <c r="D628" s="13"/>
      <c r="E628" s="13"/>
      <c r="F628" s="13"/>
      <c r="G628" s="10" t="str">
        <f aca="false">IF(AND(E628&lt;&gt;"",F628&lt;&gt;""),E628*F628,"")</f>
        <v/>
      </c>
      <c r="H628" s="13"/>
      <c r="I628" s="12"/>
    </row>
    <row r="629" customFormat="false" ht="15" hidden="false" customHeight="false" outlineLevel="0" collapsed="false">
      <c r="A629" s="11"/>
      <c r="B629" s="12"/>
      <c r="C629" s="12"/>
      <c r="D629" s="13"/>
      <c r="E629" s="13"/>
      <c r="F629" s="13"/>
      <c r="G629" s="10" t="str">
        <f aca="false">IF(AND(E629&lt;&gt;"",F629&lt;&gt;""),E629*F629,"")</f>
        <v/>
      </c>
      <c r="H629" s="13"/>
      <c r="I629" s="12"/>
    </row>
    <row r="630" customFormat="false" ht="15" hidden="false" customHeight="false" outlineLevel="0" collapsed="false">
      <c r="A630" s="11"/>
      <c r="B630" s="12"/>
      <c r="C630" s="12"/>
      <c r="D630" s="13"/>
      <c r="E630" s="13"/>
      <c r="F630" s="13"/>
      <c r="G630" s="10" t="str">
        <f aca="false">IF(AND(E630&lt;&gt;"",F630&lt;&gt;""),E630*F630,"")</f>
        <v/>
      </c>
      <c r="H630" s="13"/>
      <c r="I630" s="12"/>
    </row>
    <row r="631" customFormat="false" ht="15" hidden="false" customHeight="false" outlineLevel="0" collapsed="false">
      <c r="A631" s="11"/>
      <c r="B631" s="12"/>
      <c r="C631" s="12"/>
      <c r="D631" s="13"/>
      <c r="E631" s="13"/>
      <c r="F631" s="13"/>
      <c r="G631" s="10" t="str">
        <f aca="false">IF(AND(E631&lt;&gt;"",F631&lt;&gt;""),E631*F631,"")</f>
        <v/>
      </c>
      <c r="H631" s="13"/>
      <c r="I631" s="12"/>
    </row>
    <row r="632" customFormat="false" ht="15" hidden="false" customHeight="false" outlineLevel="0" collapsed="false">
      <c r="A632" s="11"/>
      <c r="B632" s="12"/>
      <c r="C632" s="12"/>
      <c r="D632" s="13"/>
      <c r="E632" s="13"/>
      <c r="F632" s="13"/>
      <c r="G632" s="10" t="str">
        <f aca="false">IF(AND(E632&lt;&gt;"",F632&lt;&gt;""),E632*F632,"")</f>
        <v/>
      </c>
      <c r="H632" s="13"/>
      <c r="I632" s="12"/>
    </row>
    <row r="633" customFormat="false" ht="15" hidden="false" customHeight="false" outlineLevel="0" collapsed="false">
      <c r="A633" s="11"/>
      <c r="B633" s="12"/>
      <c r="C633" s="12"/>
      <c r="D633" s="13"/>
      <c r="E633" s="13"/>
      <c r="F633" s="13"/>
      <c r="G633" s="10" t="str">
        <f aca="false">IF(AND(E633&lt;&gt;"",F633&lt;&gt;""),E633*F633,"")</f>
        <v/>
      </c>
      <c r="H633" s="13"/>
      <c r="I633" s="12"/>
    </row>
    <row r="634" customFormat="false" ht="15" hidden="false" customHeight="false" outlineLevel="0" collapsed="false">
      <c r="A634" s="11"/>
      <c r="B634" s="12"/>
      <c r="C634" s="12"/>
      <c r="D634" s="13"/>
      <c r="E634" s="13"/>
      <c r="F634" s="13"/>
      <c r="G634" s="10" t="str">
        <f aca="false">IF(AND(E634&lt;&gt;"",F634&lt;&gt;""),E634*F634,"")</f>
        <v/>
      </c>
      <c r="H634" s="13"/>
      <c r="I634" s="12"/>
    </row>
    <row r="635" customFormat="false" ht="15" hidden="false" customHeight="false" outlineLevel="0" collapsed="false">
      <c r="A635" s="11"/>
      <c r="B635" s="12"/>
      <c r="C635" s="12"/>
      <c r="D635" s="13"/>
      <c r="E635" s="13"/>
      <c r="F635" s="13"/>
      <c r="G635" s="10" t="str">
        <f aca="false">IF(AND(E635&lt;&gt;"",F635&lt;&gt;""),E635*F635,"")</f>
        <v/>
      </c>
      <c r="H635" s="13"/>
      <c r="I635" s="12"/>
    </row>
    <row r="636" customFormat="false" ht="15" hidden="false" customHeight="false" outlineLevel="0" collapsed="false">
      <c r="A636" s="11"/>
      <c r="B636" s="12"/>
      <c r="C636" s="12"/>
      <c r="D636" s="13"/>
      <c r="E636" s="13"/>
      <c r="F636" s="13"/>
      <c r="G636" s="10" t="str">
        <f aca="false">IF(AND(E636&lt;&gt;"",F636&lt;&gt;""),E636*F636,"")</f>
        <v/>
      </c>
      <c r="H636" s="13"/>
      <c r="I636" s="12"/>
    </row>
    <row r="637" customFormat="false" ht="15" hidden="false" customHeight="false" outlineLevel="0" collapsed="false">
      <c r="A637" s="11"/>
      <c r="B637" s="12"/>
      <c r="C637" s="12"/>
      <c r="D637" s="13"/>
      <c r="E637" s="13"/>
      <c r="F637" s="13"/>
      <c r="G637" s="10" t="str">
        <f aca="false">IF(AND(E637&lt;&gt;"",F637&lt;&gt;""),E637*F637,"")</f>
        <v/>
      </c>
      <c r="H637" s="13"/>
      <c r="I637" s="12"/>
    </row>
    <row r="638" customFormat="false" ht="15" hidden="false" customHeight="false" outlineLevel="0" collapsed="false">
      <c r="A638" s="11"/>
      <c r="B638" s="12"/>
      <c r="C638" s="12"/>
      <c r="D638" s="13"/>
      <c r="E638" s="13"/>
      <c r="F638" s="13"/>
      <c r="G638" s="10" t="str">
        <f aca="false">IF(AND(E638&lt;&gt;"",F638&lt;&gt;""),E638*F638,"")</f>
        <v/>
      </c>
      <c r="H638" s="13"/>
      <c r="I638" s="12"/>
    </row>
    <row r="639" customFormat="false" ht="15" hidden="false" customHeight="false" outlineLevel="0" collapsed="false">
      <c r="A639" s="11"/>
      <c r="B639" s="12"/>
      <c r="C639" s="12"/>
      <c r="D639" s="13"/>
      <c r="E639" s="13"/>
      <c r="F639" s="13"/>
      <c r="G639" s="10" t="str">
        <f aca="false">IF(AND(E639&lt;&gt;"",F639&lt;&gt;""),E639*F639,"")</f>
        <v/>
      </c>
      <c r="H639" s="13"/>
      <c r="I639" s="12"/>
    </row>
    <row r="640" customFormat="false" ht="15" hidden="false" customHeight="false" outlineLevel="0" collapsed="false">
      <c r="A640" s="11"/>
      <c r="B640" s="12"/>
      <c r="C640" s="12"/>
      <c r="D640" s="13"/>
      <c r="E640" s="13"/>
      <c r="F640" s="13"/>
      <c r="G640" s="10" t="str">
        <f aca="false">IF(AND(E640&lt;&gt;"",F640&lt;&gt;""),E640*F640,"")</f>
        <v/>
      </c>
      <c r="H640" s="13"/>
      <c r="I640" s="12"/>
    </row>
    <row r="641" customFormat="false" ht="15" hidden="false" customHeight="false" outlineLevel="0" collapsed="false">
      <c r="A641" s="11"/>
      <c r="B641" s="12"/>
      <c r="C641" s="12"/>
      <c r="D641" s="13"/>
      <c r="E641" s="13"/>
      <c r="F641" s="13"/>
      <c r="G641" s="10" t="str">
        <f aca="false">IF(AND(E641&lt;&gt;"",F641&lt;&gt;""),E641*F641,"")</f>
        <v/>
      </c>
      <c r="H641" s="13"/>
      <c r="I641" s="12"/>
    </row>
    <row r="642" customFormat="false" ht="15" hidden="false" customHeight="false" outlineLevel="0" collapsed="false">
      <c r="A642" s="11"/>
      <c r="B642" s="12"/>
      <c r="C642" s="12"/>
      <c r="D642" s="13"/>
      <c r="E642" s="13"/>
      <c r="F642" s="13"/>
      <c r="G642" s="10" t="str">
        <f aca="false">IF(AND(E642&lt;&gt;"",F642&lt;&gt;""),E642*F642,"")</f>
        <v/>
      </c>
      <c r="H642" s="13"/>
      <c r="I642" s="12"/>
    </row>
    <row r="643" customFormat="false" ht="15" hidden="false" customHeight="false" outlineLevel="0" collapsed="false">
      <c r="A643" s="11"/>
      <c r="B643" s="12"/>
      <c r="C643" s="12"/>
      <c r="D643" s="13"/>
      <c r="E643" s="13"/>
      <c r="F643" s="13"/>
      <c r="G643" s="10" t="str">
        <f aca="false">IF(AND(E643&lt;&gt;"",F643&lt;&gt;""),E643*F643,"")</f>
        <v/>
      </c>
      <c r="H643" s="13"/>
      <c r="I643" s="12"/>
    </row>
    <row r="644" customFormat="false" ht="15" hidden="false" customHeight="false" outlineLevel="0" collapsed="false">
      <c r="A644" s="11"/>
      <c r="B644" s="12"/>
      <c r="C644" s="12"/>
      <c r="D644" s="13"/>
      <c r="E644" s="13"/>
      <c r="F644" s="13"/>
      <c r="G644" s="10" t="str">
        <f aca="false">IF(AND(E644&lt;&gt;"",F644&lt;&gt;""),E644*F644,"")</f>
        <v/>
      </c>
      <c r="H644" s="13"/>
      <c r="I644" s="12"/>
    </row>
    <row r="645" customFormat="false" ht="15" hidden="false" customHeight="false" outlineLevel="0" collapsed="false">
      <c r="A645" s="11"/>
      <c r="B645" s="12"/>
      <c r="C645" s="12"/>
      <c r="D645" s="13"/>
      <c r="E645" s="13"/>
      <c r="F645" s="13"/>
      <c r="G645" s="10" t="str">
        <f aca="false">IF(AND(E645&lt;&gt;"",F645&lt;&gt;""),E645*F645,"")</f>
        <v/>
      </c>
      <c r="H645" s="13"/>
      <c r="I645" s="12"/>
    </row>
    <row r="646" customFormat="false" ht="15" hidden="false" customHeight="false" outlineLevel="0" collapsed="false">
      <c r="A646" s="11"/>
      <c r="B646" s="12"/>
      <c r="C646" s="12"/>
      <c r="D646" s="13"/>
      <c r="E646" s="13"/>
      <c r="F646" s="13"/>
      <c r="G646" s="10" t="str">
        <f aca="false">IF(AND(E646&lt;&gt;"",F646&lt;&gt;""),E646*F646,"")</f>
        <v/>
      </c>
      <c r="H646" s="13"/>
      <c r="I646" s="12"/>
    </row>
    <row r="647" customFormat="false" ht="15" hidden="false" customHeight="false" outlineLevel="0" collapsed="false">
      <c r="A647" s="11"/>
      <c r="B647" s="12"/>
      <c r="C647" s="12"/>
      <c r="D647" s="13"/>
      <c r="E647" s="13"/>
      <c r="F647" s="13"/>
      <c r="G647" s="10" t="str">
        <f aca="false">IF(AND(E647&lt;&gt;"",F647&lt;&gt;""),E647*F647,"")</f>
        <v/>
      </c>
      <c r="H647" s="13"/>
      <c r="I647" s="12"/>
    </row>
    <row r="648" customFormat="false" ht="15" hidden="false" customHeight="false" outlineLevel="0" collapsed="false">
      <c r="A648" s="11"/>
      <c r="B648" s="12"/>
      <c r="C648" s="12"/>
      <c r="D648" s="13"/>
      <c r="E648" s="13"/>
      <c r="F648" s="13"/>
      <c r="G648" s="10" t="str">
        <f aca="false">IF(AND(E648&lt;&gt;"",F648&lt;&gt;""),E648*F648,"")</f>
        <v/>
      </c>
      <c r="H648" s="13"/>
      <c r="I648" s="12"/>
    </row>
    <row r="649" customFormat="false" ht="15" hidden="false" customHeight="false" outlineLevel="0" collapsed="false">
      <c r="A649" s="11"/>
      <c r="B649" s="12"/>
      <c r="C649" s="12"/>
      <c r="D649" s="13"/>
      <c r="E649" s="13"/>
      <c r="F649" s="13"/>
      <c r="G649" s="10" t="str">
        <f aca="false">IF(AND(E649&lt;&gt;"",F649&lt;&gt;""),E649*F649,"")</f>
        <v/>
      </c>
      <c r="H649" s="13"/>
      <c r="I649" s="12"/>
    </row>
    <row r="650" customFormat="false" ht="15" hidden="false" customHeight="false" outlineLevel="0" collapsed="false">
      <c r="A650" s="11"/>
      <c r="B650" s="12"/>
      <c r="C650" s="12"/>
      <c r="D650" s="13"/>
      <c r="E650" s="13"/>
      <c r="F650" s="13"/>
      <c r="G650" s="10" t="str">
        <f aca="false">IF(AND(E650&lt;&gt;"",F650&lt;&gt;""),E650*F650,"")</f>
        <v/>
      </c>
      <c r="H650" s="13"/>
      <c r="I650" s="12"/>
    </row>
    <row r="651" customFormat="false" ht="15" hidden="false" customHeight="false" outlineLevel="0" collapsed="false">
      <c r="A651" s="11"/>
      <c r="B651" s="12"/>
      <c r="C651" s="12"/>
      <c r="D651" s="13"/>
      <c r="E651" s="13"/>
      <c r="F651" s="13"/>
      <c r="G651" s="10" t="str">
        <f aca="false">IF(AND(E651&lt;&gt;"",F651&lt;&gt;""),E651*F651,"")</f>
        <v/>
      </c>
      <c r="H651" s="13"/>
      <c r="I651" s="12"/>
    </row>
    <row r="652" customFormat="false" ht="15" hidden="false" customHeight="false" outlineLevel="0" collapsed="false">
      <c r="A652" s="11"/>
      <c r="B652" s="12"/>
      <c r="C652" s="12"/>
      <c r="D652" s="13"/>
      <c r="E652" s="13"/>
      <c r="F652" s="13"/>
      <c r="G652" s="10" t="str">
        <f aca="false">IF(AND(E652&lt;&gt;"",F652&lt;&gt;""),E652*F652,"")</f>
        <v/>
      </c>
      <c r="H652" s="13"/>
      <c r="I652" s="12"/>
    </row>
    <row r="653" customFormat="false" ht="15" hidden="false" customHeight="false" outlineLevel="0" collapsed="false">
      <c r="A653" s="11"/>
      <c r="B653" s="12"/>
      <c r="C653" s="12"/>
      <c r="D653" s="13"/>
      <c r="E653" s="13"/>
      <c r="F653" s="13"/>
      <c r="G653" s="10" t="str">
        <f aca="false">IF(AND(E653&lt;&gt;"",F653&lt;&gt;""),E653*F653,"")</f>
        <v/>
      </c>
      <c r="H653" s="13"/>
      <c r="I653" s="12"/>
    </row>
    <row r="654" customFormat="false" ht="15" hidden="false" customHeight="false" outlineLevel="0" collapsed="false">
      <c r="A654" s="11"/>
      <c r="B654" s="12"/>
      <c r="C654" s="12"/>
      <c r="D654" s="13"/>
      <c r="E654" s="13"/>
      <c r="F654" s="13"/>
      <c r="G654" s="10" t="str">
        <f aca="false">IF(AND(E654&lt;&gt;"",F654&lt;&gt;""),E654*F654,"")</f>
        <v/>
      </c>
      <c r="H654" s="13"/>
      <c r="I654" s="12"/>
    </row>
    <row r="655" customFormat="false" ht="15" hidden="false" customHeight="false" outlineLevel="0" collapsed="false">
      <c r="A655" s="11"/>
      <c r="B655" s="12"/>
      <c r="C655" s="12"/>
      <c r="D655" s="13"/>
      <c r="E655" s="13"/>
      <c r="F655" s="13"/>
      <c r="G655" s="10" t="str">
        <f aca="false">IF(AND(E655&lt;&gt;"",F655&lt;&gt;""),E655*F655,"")</f>
        <v/>
      </c>
      <c r="H655" s="13"/>
      <c r="I655" s="12"/>
    </row>
    <row r="656" customFormat="false" ht="15" hidden="false" customHeight="false" outlineLevel="0" collapsed="false">
      <c r="A656" s="11"/>
      <c r="B656" s="12"/>
      <c r="C656" s="12"/>
      <c r="D656" s="13"/>
      <c r="E656" s="13"/>
      <c r="F656" s="13"/>
      <c r="G656" s="10" t="str">
        <f aca="false">IF(AND(E656&lt;&gt;"",F656&lt;&gt;""),E656*F656,"")</f>
        <v/>
      </c>
      <c r="H656" s="13"/>
      <c r="I656" s="12"/>
    </row>
    <row r="657" customFormat="false" ht="15" hidden="false" customHeight="false" outlineLevel="0" collapsed="false">
      <c r="A657" s="11"/>
      <c r="B657" s="12"/>
      <c r="C657" s="12"/>
      <c r="D657" s="13"/>
      <c r="E657" s="13"/>
      <c r="F657" s="13"/>
      <c r="G657" s="10" t="str">
        <f aca="false">IF(AND(E657&lt;&gt;"",F657&lt;&gt;""),E657*F657,"")</f>
        <v/>
      </c>
      <c r="H657" s="13"/>
      <c r="I657" s="12"/>
    </row>
    <row r="658" customFormat="false" ht="15" hidden="false" customHeight="false" outlineLevel="0" collapsed="false">
      <c r="A658" s="11"/>
      <c r="B658" s="12"/>
      <c r="C658" s="12"/>
      <c r="D658" s="13"/>
      <c r="E658" s="13"/>
      <c r="F658" s="13"/>
      <c r="G658" s="10" t="str">
        <f aca="false">IF(AND(E658&lt;&gt;"",F658&lt;&gt;""),E658*F658,"")</f>
        <v/>
      </c>
      <c r="H658" s="13"/>
      <c r="I658" s="12"/>
    </row>
    <row r="659" customFormat="false" ht="15" hidden="false" customHeight="false" outlineLevel="0" collapsed="false">
      <c r="A659" s="11"/>
      <c r="B659" s="12"/>
      <c r="C659" s="12"/>
      <c r="D659" s="13"/>
      <c r="E659" s="13"/>
      <c r="F659" s="13"/>
      <c r="G659" s="10" t="str">
        <f aca="false">IF(AND(E659&lt;&gt;"",F659&lt;&gt;""),E659*F659,"")</f>
        <v/>
      </c>
      <c r="H659" s="13"/>
      <c r="I659" s="12"/>
    </row>
    <row r="660" customFormat="false" ht="15" hidden="false" customHeight="false" outlineLevel="0" collapsed="false">
      <c r="A660" s="11"/>
      <c r="B660" s="12"/>
      <c r="C660" s="12"/>
      <c r="D660" s="13"/>
      <c r="E660" s="13"/>
      <c r="F660" s="13"/>
      <c r="G660" s="10" t="str">
        <f aca="false">IF(AND(E660&lt;&gt;"",F660&lt;&gt;""),E660*F660,"")</f>
        <v/>
      </c>
      <c r="H660" s="13"/>
      <c r="I660" s="12"/>
    </row>
    <row r="661" customFormat="false" ht="15" hidden="false" customHeight="false" outlineLevel="0" collapsed="false">
      <c r="A661" s="11"/>
      <c r="B661" s="12"/>
      <c r="C661" s="12"/>
      <c r="D661" s="13"/>
      <c r="E661" s="13"/>
      <c r="F661" s="13"/>
      <c r="G661" s="10" t="str">
        <f aca="false">IF(AND(E661&lt;&gt;"",F661&lt;&gt;""),E661*F661,"")</f>
        <v/>
      </c>
      <c r="H661" s="13"/>
      <c r="I661" s="12"/>
    </row>
    <row r="662" customFormat="false" ht="15" hidden="false" customHeight="false" outlineLevel="0" collapsed="false">
      <c r="A662" s="11"/>
      <c r="B662" s="12"/>
      <c r="C662" s="12"/>
      <c r="D662" s="13"/>
      <c r="E662" s="13"/>
      <c r="F662" s="13"/>
      <c r="G662" s="10" t="str">
        <f aca="false">IF(AND(E662&lt;&gt;"",F662&lt;&gt;""),E662*F662,"")</f>
        <v/>
      </c>
      <c r="H662" s="13"/>
      <c r="I662" s="12"/>
    </row>
    <row r="663" customFormat="false" ht="15" hidden="false" customHeight="false" outlineLevel="0" collapsed="false">
      <c r="A663" s="11"/>
      <c r="B663" s="12"/>
      <c r="C663" s="12"/>
      <c r="D663" s="13"/>
      <c r="E663" s="13"/>
      <c r="F663" s="13"/>
      <c r="G663" s="10" t="str">
        <f aca="false">IF(AND(E663&lt;&gt;"",F663&lt;&gt;""),E663*F663,"")</f>
        <v/>
      </c>
      <c r="H663" s="13"/>
      <c r="I663" s="12"/>
    </row>
    <row r="664" customFormat="false" ht="15" hidden="false" customHeight="false" outlineLevel="0" collapsed="false">
      <c r="A664" s="11"/>
      <c r="B664" s="12"/>
      <c r="C664" s="12"/>
      <c r="D664" s="13"/>
      <c r="E664" s="13"/>
      <c r="F664" s="13"/>
      <c r="G664" s="10" t="str">
        <f aca="false">IF(AND(E664&lt;&gt;"",F664&lt;&gt;""),E664*F664,"")</f>
        <v/>
      </c>
      <c r="H664" s="13"/>
      <c r="I664" s="12"/>
    </row>
    <row r="665" customFormat="false" ht="15" hidden="false" customHeight="false" outlineLevel="0" collapsed="false">
      <c r="A665" s="11"/>
      <c r="B665" s="12"/>
      <c r="C665" s="12"/>
      <c r="D665" s="13"/>
      <c r="E665" s="13"/>
      <c r="F665" s="13"/>
      <c r="G665" s="10" t="str">
        <f aca="false">IF(AND(E665&lt;&gt;"",F665&lt;&gt;""),E665*F665,"")</f>
        <v/>
      </c>
      <c r="H665" s="13"/>
      <c r="I665" s="12"/>
    </row>
    <row r="666" customFormat="false" ht="15" hidden="false" customHeight="false" outlineLevel="0" collapsed="false">
      <c r="A666" s="11"/>
      <c r="B666" s="12"/>
      <c r="C666" s="12"/>
      <c r="D666" s="13"/>
      <c r="E666" s="13"/>
      <c r="F666" s="13"/>
      <c r="G666" s="10" t="str">
        <f aca="false">IF(AND(E666&lt;&gt;"",F666&lt;&gt;""),E666*F666,"")</f>
        <v/>
      </c>
      <c r="H666" s="13"/>
      <c r="I666" s="12"/>
    </row>
    <row r="667" customFormat="false" ht="15" hidden="false" customHeight="false" outlineLevel="0" collapsed="false">
      <c r="A667" s="11"/>
      <c r="B667" s="12"/>
      <c r="C667" s="12"/>
      <c r="D667" s="13"/>
      <c r="E667" s="13"/>
      <c r="F667" s="13"/>
      <c r="G667" s="10" t="str">
        <f aca="false">IF(AND(E667&lt;&gt;"",F667&lt;&gt;""),E667*F667,"")</f>
        <v/>
      </c>
      <c r="H667" s="13"/>
      <c r="I667" s="12"/>
    </row>
    <row r="668" customFormat="false" ht="15" hidden="false" customHeight="false" outlineLevel="0" collapsed="false">
      <c r="A668" s="11"/>
      <c r="B668" s="12"/>
      <c r="C668" s="12"/>
      <c r="D668" s="13"/>
      <c r="E668" s="13"/>
      <c r="F668" s="13"/>
      <c r="G668" s="10" t="str">
        <f aca="false">IF(AND(E668&lt;&gt;"",F668&lt;&gt;""),E668*F668,"")</f>
        <v/>
      </c>
      <c r="H668" s="13"/>
      <c r="I668" s="12"/>
    </row>
    <row r="669" customFormat="false" ht="15" hidden="false" customHeight="false" outlineLevel="0" collapsed="false">
      <c r="A669" s="11"/>
      <c r="B669" s="12"/>
      <c r="C669" s="12"/>
      <c r="D669" s="13"/>
      <c r="E669" s="13"/>
      <c r="F669" s="13"/>
      <c r="G669" s="10" t="str">
        <f aca="false">IF(AND(E669&lt;&gt;"",F669&lt;&gt;""),E669*F669,"")</f>
        <v/>
      </c>
      <c r="H669" s="13"/>
      <c r="I669" s="12"/>
    </row>
    <row r="670" customFormat="false" ht="15" hidden="false" customHeight="false" outlineLevel="0" collapsed="false">
      <c r="A670" s="11"/>
      <c r="B670" s="12"/>
      <c r="C670" s="12"/>
      <c r="D670" s="13"/>
      <c r="E670" s="13"/>
      <c r="F670" s="13"/>
      <c r="G670" s="10" t="str">
        <f aca="false">IF(AND(E670&lt;&gt;"",F670&lt;&gt;""),E670*F670,"")</f>
        <v/>
      </c>
      <c r="H670" s="13"/>
      <c r="I670" s="12"/>
    </row>
    <row r="671" customFormat="false" ht="15" hidden="false" customHeight="false" outlineLevel="0" collapsed="false">
      <c r="A671" s="11"/>
      <c r="B671" s="12"/>
      <c r="C671" s="12"/>
      <c r="D671" s="13"/>
      <c r="E671" s="13"/>
      <c r="F671" s="13"/>
      <c r="G671" s="10" t="str">
        <f aca="false">IF(AND(E671&lt;&gt;"",F671&lt;&gt;""),E671*F671,"")</f>
        <v/>
      </c>
      <c r="H671" s="13"/>
      <c r="I671" s="12"/>
    </row>
    <row r="672" customFormat="false" ht="15" hidden="false" customHeight="false" outlineLevel="0" collapsed="false">
      <c r="A672" s="11"/>
      <c r="B672" s="12"/>
      <c r="C672" s="12"/>
      <c r="D672" s="13"/>
      <c r="E672" s="13"/>
      <c r="F672" s="13"/>
      <c r="G672" s="10" t="str">
        <f aca="false">IF(AND(E672&lt;&gt;"",F672&lt;&gt;""),E672*F672,"")</f>
        <v/>
      </c>
      <c r="H672" s="13"/>
      <c r="I672" s="12"/>
    </row>
    <row r="673" customFormat="false" ht="15" hidden="false" customHeight="false" outlineLevel="0" collapsed="false">
      <c r="A673" s="11"/>
      <c r="B673" s="12"/>
      <c r="C673" s="12"/>
      <c r="D673" s="13"/>
      <c r="E673" s="13"/>
      <c r="F673" s="13"/>
      <c r="G673" s="10" t="str">
        <f aca="false">IF(AND(E673&lt;&gt;"",F673&lt;&gt;""),E673*F673,"")</f>
        <v/>
      </c>
      <c r="H673" s="13"/>
      <c r="I673" s="12"/>
    </row>
    <row r="674" customFormat="false" ht="15" hidden="false" customHeight="false" outlineLevel="0" collapsed="false">
      <c r="A674" s="11"/>
      <c r="B674" s="12"/>
      <c r="C674" s="12"/>
      <c r="D674" s="13"/>
      <c r="E674" s="13"/>
      <c r="F674" s="13"/>
      <c r="G674" s="10" t="str">
        <f aca="false">IF(AND(E674&lt;&gt;"",F674&lt;&gt;""),E674*F674,"")</f>
        <v/>
      </c>
      <c r="H674" s="13"/>
      <c r="I674" s="12"/>
    </row>
    <row r="675" customFormat="false" ht="15" hidden="false" customHeight="false" outlineLevel="0" collapsed="false">
      <c r="A675" s="11"/>
      <c r="B675" s="12"/>
      <c r="C675" s="12"/>
      <c r="D675" s="13"/>
      <c r="E675" s="13"/>
      <c r="F675" s="13"/>
      <c r="G675" s="10" t="str">
        <f aca="false">IF(AND(E675&lt;&gt;"",F675&lt;&gt;""),E675*F675,"")</f>
        <v/>
      </c>
      <c r="H675" s="13"/>
      <c r="I675" s="12"/>
    </row>
    <row r="676" customFormat="false" ht="15" hidden="false" customHeight="false" outlineLevel="0" collapsed="false">
      <c r="A676" s="11"/>
      <c r="B676" s="12"/>
      <c r="C676" s="12"/>
      <c r="D676" s="13"/>
      <c r="E676" s="13"/>
      <c r="F676" s="13"/>
      <c r="G676" s="10" t="str">
        <f aca="false">IF(AND(E676&lt;&gt;"",F676&lt;&gt;""),E676*F676,"")</f>
        <v/>
      </c>
      <c r="H676" s="13"/>
      <c r="I676" s="12"/>
    </row>
    <row r="677" customFormat="false" ht="15" hidden="false" customHeight="false" outlineLevel="0" collapsed="false">
      <c r="A677" s="11"/>
      <c r="B677" s="12"/>
      <c r="C677" s="12"/>
      <c r="D677" s="13"/>
      <c r="E677" s="13"/>
      <c r="F677" s="13"/>
      <c r="G677" s="10" t="str">
        <f aca="false">IF(AND(E677&lt;&gt;"",F677&lt;&gt;""),E677*F677,"")</f>
        <v/>
      </c>
      <c r="H677" s="13"/>
      <c r="I677" s="12"/>
    </row>
    <row r="678" customFormat="false" ht="15" hidden="false" customHeight="false" outlineLevel="0" collapsed="false">
      <c r="A678" s="11"/>
      <c r="B678" s="12"/>
      <c r="C678" s="12"/>
      <c r="D678" s="13"/>
      <c r="E678" s="13"/>
      <c r="F678" s="13"/>
      <c r="G678" s="10" t="str">
        <f aca="false">IF(AND(E678&lt;&gt;"",F678&lt;&gt;""),E678*F678,"")</f>
        <v/>
      </c>
      <c r="H678" s="13"/>
      <c r="I678" s="12"/>
    </row>
    <row r="679" customFormat="false" ht="15" hidden="false" customHeight="false" outlineLevel="0" collapsed="false">
      <c r="A679" s="11"/>
      <c r="B679" s="12"/>
      <c r="C679" s="12"/>
      <c r="D679" s="13"/>
      <c r="E679" s="13"/>
      <c r="F679" s="13"/>
      <c r="G679" s="10" t="str">
        <f aca="false">IF(AND(E679&lt;&gt;"",F679&lt;&gt;""),E679*F679,"")</f>
        <v/>
      </c>
      <c r="H679" s="13"/>
      <c r="I679" s="12"/>
    </row>
    <row r="680" customFormat="false" ht="15" hidden="false" customHeight="false" outlineLevel="0" collapsed="false">
      <c r="A680" s="11"/>
      <c r="B680" s="12"/>
      <c r="C680" s="12"/>
      <c r="D680" s="13"/>
      <c r="E680" s="13"/>
      <c r="F680" s="13"/>
      <c r="G680" s="10" t="str">
        <f aca="false">IF(AND(E680&lt;&gt;"",F680&lt;&gt;""),E680*F680,"")</f>
        <v/>
      </c>
      <c r="H680" s="13"/>
      <c r="I680" s="12"/>
    </row>
    <row r="681" customFormat="false" ht="15" hidden="false" customHeight="false" outlineLevel="0" collapsed="false">
      <c r="A681" s="11"/>
      <c r="B681" s="12"/>
      <c r="C681" s="12"/>
      <c r="D681" s="13"/>
      <c r="E681" s="13"/>
      <c r="F681" s="13"/>
      <c r="G681" s="10" t="str">
        <f aca="false">IF(AND(E681&lt;&gt;"",F681&lt;&gt;""),E681*F681,"")</f>
        <v/>
      </c>
      <c r="H681" s="13"/>
      <c r="I681" s="12"/>
    </row>
    <row r="682" customFormat="false" ht="15" hidden="false" customHeight="false" outlineLevel="0" collapsed="false">
      <c r="A682" s="11"/>
      <c r="B682" s="12"/>
      <c r="C682" s="12"/>
      <c r="D682" s="13"/>
      <c r="E682" s="13"/>
      <c r="F682" s="13"/>
      <c r="G682" s="10" t="str">
        <f aca="false">IF(AND(E682&lt;&gt;"",F682&lt;&gt;""),E682*F682,"")</f>
        <v/>
      </c>
      <c r="H682" s="13"/>
      <c r="I682" s="12"/>
    </row>
    <row r="683" customFormat="false" ht="15" hidden="false" customHeight="false" outlineLevel="0" collapsed="false">
      <c r="A683" s="11"/>
      <c r="B683" s="12"/>
      <c r="C683" s="12"/>
      <c r="D683" s="13"/>
      <c r="E683" s="13"/>
      <c r="F683" s="13"/>
      <c r="G683" s="10" t="str">
        <f aca="false">IF(AND(E683&lt;&gt;"",F683&lt;&gt;""),E683*F683,"")</f>
        <v/>
      </c>
      <c r="H683" s="13"/>
      <c r="I683" s="12"/>
    </row>
    <row r="684" customFormat="false" ht="15" hidden="false" customHeight="false" outlineLevel="0" collapsed="false">
      <c r="A684" s="11"/>
      <c r="B684" s="12"/>
      <c r="C684" s="12"/>
      <c r="D684" s="13"/>
      <c r="E684" s="13"/>
      <c r="F684" s="13"/>
      <c r="G684" s="10" t="str">
        <f aca="false">IF(AND(E684&lt;&gt;"",F684&lt;&gt;""),E684*F684,"")</f>
        <v/>
      </c>
      <c r="H684" s="13"/>
      <c r="I684" s="12"/>
    </row>
    <row r="685" customFormat="false" ht="15" hidden="false" customHeight="false" outlineLevel="0" collapsed="false">
      <c r="A685" s="11"/>
      <c r="B685" s="12"/>
      <c r="C685" s="12"/>
      <c r="D685" s="13"/>
      <c r="E685" s="13"/>
      <c r="F685" s="13"/>
      <c r="G685" s="10" t="str">
        <f aca="false">IF(AND(E685&lt;&gt;"",F685&lt;&gt;""),E685*F685,"")</f>
        <v/>
      </c>
      <c r="H685" s="13"/>
      <c r="I685" s="12"/>
    </row>
    <row r="686" customFormat="false" ht="15" hidden="false" customHeight="false" outlineLevel="0" collapsed="false">
      <c r="A686" s="11"/>
      <c r="B686" s="12"/>
      <c r="C686" s="12"/>
      <c r="D686" s="13"/>
      <c r="E686" s="13"/>
      <c r="F686" s="13"/>
      <c r="G686" s="10" t="str">
        <f aca="false">IF(AND(E686&lt;&gt;"",F686&lt;&gt;""),E686*F686,"")</f>
        <v/>
      </c>
      <c r="H686" s="13"/>
      <c r="I686" s="12"/>
    </row>
    <row r="687" customFormat="false" ht="15" hidden="false" customHeight="false" outlineLevel="0" collapsed="false">
      <c r="A687" s="11"/>
      <c r="B687" s="12"/>
      <c r="C687" s="12"/>
      <c r="D687" s="13"/>
      <c r="E687" s="13"/>
      <c r="F687" s="13"/>
      <c r="G687" s="10" t="str">
        <f aca="false">IF(AND(E687&lt;&gt;"",F687&lt;&gt;""),E687*F687,"")</f>
        <v/>
      </c>
      <c r="H687" s="13"/>
      <c r="I687" s="12"/>
    </row>
    <row r="688" customFormat="false" ht="15" hidden="false" customHeight="false" outlineLevel="0" collapsed="false">
      <c r="A688" s="11"/>
      <c r="B688" s="12"/>
      <c r="C688" s="12"/>
      <c r="D688" s="13"/>
      <c r="E688" s="13"/>
      <c r="F688" s="13"/>
      <c r="G688" s="10" t="str">
        <f aca="false">IF(AND(E688&lt;&gt;"",F688&lt;&gt;""),E688*F688,"")</f>
        <v/>
      </c>
      <c r="H688" s="13"/>
      <c r="I688" s="12"/>
    </row>
    <row r="689" customFormat="false" ht="15" hidden="false" customHeight="false" outlineLevel="0" collapsed="false">
      <c r="A689" s="11"/>
      <c r="B689" s="12"/>
      <c r="C689" s="12"/>
      <c r="D689" s="13"/>
      <c r="E689" s="13"/>
      <c r="F689" s="13"/>
      <c r="G689" s="10" t="str">
        <f aca="false">IF(AND(E689&lt;&gt;"",F689&lt;&gt;""),E689*F689,"")</f>
        <v/>
      </c>
      <c r="H689" s="13"/>
      <c r="I689" s="12"/>
    </row>
    <row r="690" customFormat="false" ht="15" hidden="false" customHeight="false" outlineLevel="0" collapsed="false">
      <c r="A690" s="11"/>
      <c r="B690" s="12"/>
      <c r="C690" s="12"/>
      <c r="D690" s="13"/>
      <c r="E690" s="13"/>
      <c r="F690" s="13"/>
      <c r="G690" s="10" t="str">
        <f aca="false">IF(AND(E690&lt;&gt;"",F690&lt;&gt;""),E690*F690,"")</f>
        <v/>
      </c>
      <c r="H690" s="13"/>
      <c r="I690" s="12"/>
    </row>
    <row r="691" customFormat="false" ht="15" hidden="false" customHeight="false" outlineLevel="0" collapsed="false">
      <c r="A691" s="11"/>
      <c r="B691" s="12"/>
      <c r="C691" s="12"/>
      <c r="D691" s="13"/>
      <c r="E691" s="13"/>
      <c r="F691" s="13"/>
      <c r="G691" s="10" t="str">
        <f aca="false">IF(AND(E691&lt;&gt;"",F691&lt;&gt;""),E691*F691,"")</f>
        <v/>
      </c>
      <c r="H691" s="13"/>
      <c r="I691" s="12"/>
    </row>
    <row r="692" customFormat="false" ht="15" hidden="false" customHeight="false" outlineLevel="0" collapsed="false">
      <c r="A692" s="11"/>
      <c r="B692" s="12"/>
      <c r="C692" s="12"/>
      <c r="D692" s="13"/>
      <c r="E692" s="13"/>
      <c r="F692" s="13"/>
      <c r="G692" s="10" t="str">
        <f aca="false">IF(AND(E692&lt;&gt;"",F692&lt;&gt;""),E692*F692,"")</f>
        <v/>
      </c>
      <c r="H692" s="13"/>
      <c r="I692" s="12"/>
    </row>
    <row r="693" customFormat="false" ht="15" hidden="false" customHeight="false" outlineLevel="0" collapsed="false">
      <c r="A693" s="11"/>
      <c r="B693" s="12"/>
      <c r="C693" s="12"/>
      <c r="D693" s="13"/>
      <c r="E693" s="13"/>
      <c r="F693" s="13"/>
      <c r="G693" s="10" t="str">
        <f aca="false">IF(AND(E693&lt;&gt;"",F693&lt;&gt;""),E693*F693,"")</f>
        <v/>
      </c>
      <c r="H693" s="13"/>
      <c r="I693" s="12"/>
    </row>
    <row r="694" customFormat="false" ht="15" hidden="false" customHeight="false" outlineLevel="0" collapsed="false">
      <c r="A694" s="11"/>
      <c r="B694" s="12"/>
      <c r="C694" s="12"/>
      <c r="D694" s="13"/>
      <c r="E694" s="13"/>
      <c r="F694" s="13"/>
      <c r="G694" s="10" t="str">
        <f aca="false">IF(AND(E694&lt;&gt;"",F694&lt;&gt;""),E694*F694,"")</f>
        <v/>
      </c>
      <c r="H694" s="13"/>
      <c r="I694" s="12"/>
    </row>
    <row r="695" customFormat="false" ht="15" hidden="false" customHeight="false" outlineLevel="0" collapsed="false">
      <c r="A695" s="11"/>
      <c r="B695" s="12"/>
      <c r="C695" s="12"/>
      <c r="D695" s="13"/>
      <c r="E695" s="13"/>
      <c r="F695" s="13"/>
      <c r="G695" s="10" t="str">
        <f aca="false">IF(AND(E695&lt;&gt;"",F695&lt;&gt;""),E695*F695,"")</f>
        <v/>
      </c>
      <c r="H695" s="13"/>
      <c r="I695" s="12"/>
    </row>
    <row r="696" customFormat="false" ht="15" hidden="false" customHeight="false" outlineLevel="0" collapsed="false">
      <c r="A696" s="11"/>
      <c r="B696" s="12"/>
      <c r="C696" s="12"/>
      <c r="D696" s="13"/>
      <c r="E696" s="13"/>
      <c r="F696" s="13"/>
      <c r="G696" s="10" t="str">
        <f aca="false">IF(AND(E696&lt;&gt;"",F696&lt;&gt;""),E696*F696,"")</f>
        <v/>
      </c>
      <c r="H696" s="13"/>
      <c r="I696" s="12"/>
    </row>
    <row r="697" customFormat="false" ht="15" hidden="false" customHeight="false" outlineLevel="0" collapsed="false">
      <c r="A697" s="11"/>
      <c r="B697" s="12"/>
      <c r="C697" s="12"/>
      <c r="D697" s="13"/>
      <c r="E697" s="13"/>
      <c r="F697" s="13"/>
      <c r="G697" s="10" t="str">
        <f aca="false">IF(AND(E697&lt;&gt;"",F697&lt;&gt;""),E697*F697,"")</f>
        <v/>
      </c>
      <c r="H697" s="13"/>
      <c r="I697" s="12"/>
    </row>
    <row r="698" customFormat="false" ht="15" hidden="false" customHeight="false" outlineLevel="0" collapsed="false">
      <c r="A698" s="11"/>
      <c r="B698" s="12"/>
      <c r="C698" s="12"/>
      <c r="D698" s="13"/>
      <c r="E698" s="13"/>
      <c r="F698" s="13"/>
      <c r="G698" s="10" t="str">
        <f aca="false">IF(AND(E698&lt;&gt;"",F698&lt;&gt;""),E698*F698,"")</f>
        <v/>
      </c>
      <c r="H698" s="13"/>
      <c r="I698" s="12"/>
    </row>
    <row r="699" customFormat="false" ht="15" hidden="false" customHeight="false" outlineLevel="0" collapsed="false">
      <c r="A699" s="11"/>
      <c r="B699" s="12"/>
      <c r="C699" s="12"/>
      <c r="D699" s="13"/>
      <c r="E699" s="13"/>
      <c r="F699" s="13"/>
      <c r="G699" s="10" t="str">
        <f aca="false">IF(AND(E699&lt;&gt;"",F699&lt;&gt;""),E699*F699,"")</f>
        <v/>
      </c>
      <c r="H699" s="13"/>
      <c r="I699" s="12"/>
    </row>
    <row r="700" customFormat="false" ht="15" hidden="false" customHeight="false" outlineLevel="0" collapsed="false">
      <c r="A700" s="11"/>
      <c r="B700" s="12"/>
      <c r="C700" s="12"/>
      <c r="D700" s="13"/>
      <c r="E700" s="13"/>
      <c r="F700" s="13"/>
      <c r="G700" s="10" t="str">
        <f aca="false">IF(AND(E700&lt;&gt;"",F700&lt;&gt;""),E700*F700,"")</f>
        <v/>
      </c>
      <c r="H700" s="13"/>
      <c r="I700" s="12"/>
    </row>
    <row r="701" customFormat="false" ht="15" hidden="false" customHeight="false" outlineLevel="0" collapsed="false">
      <c r="A701" s="11"/>
      <c r="B701" s="12"/>
      <c r="C701" s="12"/>
      <c r="D701" s="13"/>
      <c r="E701" s="13"/>
      <c r="F701" s="13"/>
      <c r="G701" s="10" t="str">
        <f aca="false">IF(AND(E701&lt;&gt;"",F701&lt;&gt;""),E701*F701,"")</f>
        <v/>
      </c>
      <c r="H701" s="13"/>
      <c r="I701" s="12"/>
    </row>
    <row r="702" customFormat="false" ht="15" hidden="false" customHeight="false" outlineLevel="0" collapsed="false">
      <c r="A702" s="11"/>
      <c r="B702" s="12"/>
      <c r="C702" s="12"/>
      <c r="D702" s="13"/>
      <c r="E702" s="13"/>
      <c r="F702" s="13"/>
      <c r="G702" s="10" t="str">
        <f aca="false">IF(AND(E702&lt;&gt;"",F702&lt;&gt;""),E702*F702,"")</f>
        <v/>
      </c>
      <c r="H702" s="13"/>
      <c r="I702" s="12"/>
    </row>
    <row r="703" customFormat="false" ht="15" hidden="false" customHeight="false" outlineLevel="0" collapsed="false">
      <c r="A703" s="11"/>
      <c r="B703" s="12"/>
      <c r="C703" s="12"/>
      <c r="D703" s="13"/>
      <c r="E703" s="13"/>
      <c r="F703" s="13"/>
      <c r="G703" s="10" t="str">
        <f aca="false">IF(AND(E703&lt;&gt;"",F703&lt;&gt;""),E703*F703,"")</f>
        <v/>
      </c>
      <c r="H703" s="13"/>
      <c r="I703" s="12"/>
    </row>
    <row r="704" customFormat="false" ht="15" hidden="false" customHeight="false" outlineLevel="0" collapsed="false">
      <c r="A704" s="11"/>
      <c r="B704" s="12"/>
      <c r="C704" s="12"/>
      <c r="D704" s="13"/>
      <c r="E704" s="13"/>
      <c r="F704" s="13"/>
      <c r="G704" s="10" t="str">
        <f aca="false">IF(AND(E704&lt;&gt;"",F704&lt;&gt;""),E704*F704,"")</f>
        <v/>
      </c>
      <c r="H704" s="13"/>
      <c r="I704" s="12"/>
    </row>
    <row r="705" customFormat="false" ht="15" hidden="false" customHeight="false" outlineLevel="0" collapsed="false">
      <c r="A705" s="11"/>
      <c r="B705" s="12"/>
      <c r="C705" s="12"/>
      <c r="D705" s="13"/>
      <c r="E705" s="13"/>
      <c r="F705" s="13"/>
      <c r="G705" s="10" t="str">
        <f aca="false">IF(AND(E705&lt;&gt;"",F705&lt;&gt;""),E705*F705,"")</f>
        <v/>
      </c>
      <c r="H705" s="13"/>
      <c r="I705" s="12"/>
    </row>
    <row r="706" customFormat="false" ht="15" hidden="false" customHeight="false" outlineLevel="0" collapsed="false">
      <c r="A706" s="11"/>
      <c r="B706" s="12"/>
      <c r="C706" s="12"/>
      <c r="D706" s="13"/>
      <c r="E706" s="13"/>
      <c r="F706" s="13"/>
      <c r="G706" s="10" t="str">
        <f aca="false">IF(AND(E706&lt;&gt;"",F706&lt;&gt;""),E706*F706,"")</f>
        <v/>
      </c>
      <c r="H706" s="13"/>
      <c r="I706" s="12"/>
    </row>
    <row r="707" customFormat="false" ht="15" hidden="false" customHeight="false" outlineLevel="0" collapsed="false">
      <c r="A707" s="11"/>
      <c r="B707" s="12"/>
      <c r="C707" s="12"/>
      <c r="D707" s="13"/>
      <c r="E707" s="13"/>
      <c r="F707" s="13"/>
      <c r="G707" s="10" t="str">
        <f aca="false">IF(AND(E707&lt;&gt;"",F707&lt;&gt;""),E707*F707,"")</f>
        <v/>
      </c>
      <c r="H707" s="13"/>
      <c r="I707" s="12"/>
    </row>
    <row r="708" customFormat="false" ht="15" hidden="false" customHeight="false" outlineLevel="0" collapsed="false">
      <c r="A708" s="11"/>
      <c r="B708" s="12"/>
      <c r="C708" s="12"/>
      <c r="D708" s="13"/>
      <c r="E708" s="13"/>
      <c r="F708" s="13"/>
      <c r="G708" s="10" t="str">
        <f aca="false">IF(AND(E708&lt;&gt;"",F708&lt;&gt;""),E708*F708,"")</f>
        <v/>
      </c>
      <c r="H708" s="13"/>
      <c r="I708" s="12"/>
    </row>
    <row r="709" customFormat="false" ht="15" hidden="false" customHeight="false" outlineLevel="0" collapsed="false">
      <c r="A709" s="11"/>
      <c r="B709" s="12"/>
      <c r="C709" s="12"/>
      <c r="D709" s="13"/>
      <c r="E709" s="13"/>
      <c r="F709" s="13"/>
      <c r="G709" s="10" t="str">
        <f aca="false">IF(AND(E709&lt;&gt;"",F709&lt;&gt;""),E709*F709,"")</f>
        <v/>
      </c>
      <c r="H709" s="13"/>
      <c r="I709" s="12"/>
    </row>
    <row r="710" customFormat="false" ht="15" hidden="false" customHeight="false" outlineLevel="0" collapsed="false">
      <c r="A710" s="11"/>
      <c r="B710" s="12"/>
      <c r="C710" s="12"/>
      <c r="D710" s="13"/>
      <c r="E710" s="13"/>
      <c r="F710" s="13"/>
      <c r="G710" s="10" t="str">
        <f aca="false">IF(AND(E710&lt;&gt;"",F710&lt;&gt;""),E710*F710,"")</f>
        <v/>
      </c>
      <c r="H710" s="13"/>
      <c r="I710" s="12"/>
    </row>
    <row r="711" customFormat="false" ht="15" hidden="false" customHeight="false" outlineLevel="0" collapsed="false">
      <c r="A711" s="11"/>
      <c r="B711" s="12"/>
      <c r="C711" s="12"/>
      <c r="D711" s="13"/>
      <c r="E711" s="13"/>
      <c r="F711" s="13"/>
      <c r="G711" s="10" t="str">
        <f aca="false">IF(AND(E711&lt;&gt;"",F711&lt;&gt;""),E711*F711,"")</f>
        <v/>
      </c>
      <c r="H711" s="13"/>
      <c r="I711" s="12"/>
    </row>
    <row r="712" customFormat="false" ht="15" hidden="false" customHeight="false" outlineLevel="0" collapsed="false">
      <c r="A712" s="11"/>
      <c r="B712" s="12"/>
      <c r="C712" s="12"/>
      <c r="D712" s="13"/>
      <c r="E712" s="13"/>
      <c r="F712" s="13"/>
      <c r="G712" s="10" t="str">
        <f aca="false">IF(AND(E712&lt;&gt;"",F712&lt;&gt;""),E712*F712,"")</f>
        <v/>
      </c>
      <c r="H712" s="13"/>
      <c r="I712" s="12"/>
    </row>
    <row r="713" customFormat="false" ht="15" hidden="false" customHeight="false" outlineLevel="0" collapsed="false">
      <c r="A713" s="11"/>
      <c r="B713" s="12"/>
      <c r="C713" s="12"/>
      <c r="D713" s="13"/>
      <c r="E713" s="13"/>
      <c r="F713" s="13"/>
      <c r="G713" s="10" t="str">
        <f aca="false">IF(AND(E713&lt;&gt;"",F713&lt;&gt;""),E713*F713,"")</f>
        <v/>
      </c>
      <c r="H713" s="13"/>
      <c r="I713" s="12"/>
    </row>
    <row r="714" customFormat="false" ht="15" hidden="false" customHeight="false" outlineLevel="0" collapsed="false">
      <c r="A714" s="11"/>
      <c r="B714" s="12"/>
      <c r="C714" s="12"/>
      <c r="D714" s="13"/>
      <c r="E714" s="13"/>
      <c r="F714" s="13"/>
      <c r="G714" s="10" t="str">
        <f aca="false">IF(AND(E714&lt;&gt;"",F714&lt;&gt;""),E714*F714,"")</f>
        <v/>
      </c>
      <c r="H714" s="13"/>
      <c r="I714" s="12"/>
    </row>
    <row r="715" customFormat="false" ht="15" hidden="false" customHeight="false" outlineLevel="0" collapsed="false">
      <c r="A715" s="11"/>
      <c r="B715" s="12"/>
      <c r="C715" s="12"/>
      <c r="D715" s="13"/>
      <c r="E715" s="13"/>
      <c r="F715" s="13"/>
      <c r="G715" s="10" t="str">
        <f aca="false">IF(AND(E715&lt;&gt;"",F715&lt;&gt;""),E715*F715,"")</f>
        <v/>
      </c>
      <c r="H715" s="13"/>
      <c r="I715" s="12"/>
    </row>
    <row r="716" customFormat="false" ht="15" hidden="false" customHeight="false" outlineLevel="0" collapsed="false">
      <c r="A716" s="11"/>
      <c r="B716" s="12"/>
      <c r="C716" s="12"/>
      <c r="D716" s="13"/>
      <c r="E716" s="13"/>
      <c r="F716" s="13"/>
      <c r="G716" s="10" t="str">
        <f aca="false">IF(AND(E716&lt;&gt;"",F716&lt;&gt;""),E716*F716,"")</f>
        <v/>
      </c>
      <c r="H716" s="13"/>
      <c r="I716" s="12"/>
    </row>
    <row r="717" customFormat="false" ht="15" hidden="false" customHeight="false" outlineLevel="0" collapsed="false">
      <c r="A717" s="11"/>
      <c r="B717" s="12"/>
      <c r="C717" s="12"/>
      <c r="D717" s="13"/>
      <c r="E717" s="13"/>
      <c r="F717" s="13"/>
      <c r="G717" s="10" t="str">
        <f aca="false">IF(AND(E717&lt;&gt;"",F717&lt;&gt;""),E717*F717,"")</f>
        <v/>
      </c>
      <c r="H717" s="13"/>
      <c r="I717" s="12"/>
    </row>
    <row r="718" customFormat="false" ht="15" hidden="false" customHeight="false" outlineLevel="0" collapsed="false">
      <c r="A718" s="11"/>
      <c r="B718" s="12"/>
      <c r="C718" s="12"/>
      <c r="D718" s="13"/>
      <c r="E718" s="13"/>
      <c r="F718" s="13"/>
      <c r="G718" s="10" t="str">
        <f aca="false">IF(AND(E718&lt;&gt;"",F718&lt;&gt;""),E718*F718,"")</f>
        <v/>
      </c>
      <c r="H718" s="13"/>
      <c r="I718" s="12"/>
    </row>
    <row r="719" customFormat="false" ht="15" hidden="false" customHeight="false" outlineLevel="0" collapsed="false">
      <c r="A719" s="11"/>
      <c r="B719" s="12"/>
      <c r="C719" s="12"/>
      <c r="D719" s="13"/>
      <c r="E719" s="13"/>
      <c r="F719" s="13"/>
      <c r="G719" s="10" t="str">
        <f aca="false">IF(AND(E719&lt;&gt;"",F719&lt;&gt;""),E719*F719,"")</f>
        <v/>
      </c>
      <c r="H719" s="13"/>
      <c r="I719" s="12"/>
    </row>
    <row r="720" customFormat="false" ht="15" hidden="false" customHeight="false" outlineLevel="0" collapsed="false">
      <c r="A720" s="11"/>
      <c r="B720" s="12"/>
      <c r="C720" s="12"/>
      <c r="D720" s="13"/>
      <c r="E720" s="13"/>
      <c r="F720" s="13"/>
      <c r="G720" s="10" t="str">
        <f aca="false">IF(AND(E720&lt;&gt;"",F720&lt;&gt;""),E720*F720,"")</f>
        <v/>
      </c>
      <c r="H720" s="13"/>
      <c r="I720" s="12"/>
    </row>
    <row r="721" customFormat="false" ht="15" hidden="false" customHeight="false" outlineLevel="0" collapsed="false">
      <c r="A721" s="11"/>
      <c r="B721" s="12"/>
      <c r="C721" s="12"/>
      <c r="D721" s="13"/>
      <c r="E721" s="13"/>
      <c r="F721" s="13"/>
      <c r="G721" s="10" t="str">
        <f aca="false">IF(AND(E721&lt;&gt;"",F721&lt;&gt;""),E721*F721,"")</f>
        <v/>
      </c>
      <c r="H721" s="13"/>
      <c r="I721" s="12"/>
    </row>
    <row r="722" customFormat="false" ht="15" hidden="false" customHeight="false" outlineLevel="0" collapsed="false">
      <c r="A722" s="11"/>
      <c r="B722" s="12"/>
      <c r="C722" s="12"/>
      <c r="D722" s="13"/>
      <c r="E722" s="13"/>
      <c r="F722" s="13"/>
      <c r="G722" s="10" t="str">
        <f aca="false">IF(AND(E722&lt;&gt;"",F722&lt;&gt;""),E722*F722,"")</f>
        <v/>
      </c>
      <c r="H722" s="13"/>
      <c r="I722" s="12"/>
    </row>
    <row r="723" customFormat="false" ht="15" hidden="false" customHeight="false" outlineLevel="0" collapsed="false">
      <c r="A723" s="11"/>
      <c r="B723" s="12"/>
      <c r="C723" s="12"/>
      <c r="D723" s="13"/>
      <c r="E723" s="13"/>
      <c r="F723" s="13"/>
      <c r="G723" s="10" t="str">
        <f aca="false">IF(AND(E723&lt;&gt;"",F723&lt;&gt;""),E723*F723,"")</f>
        <v/>
      </c>
      <c r="H723" s="13"/>
      <c r="I723" s="12"/>
    </row>
    <row r="724" customFormat="false" ht="15" hidden="false" customHeight="false" outlineLevel="0" collapsed="false">
      <c r="A724" s="11"/>
      <c r="B724" s="12"/>
      <c r="C724" s="12"/>
      <c r="D724" s="13"/>
      <c r="E724" s="13"/>
      <c r="F724" s="13"/>
      <c r="G724" s="10" t="str">
        <f aca="false">IF(AND(E724&lt;&gt;"",F724&lt;&gt;""),E724*F724,"")</f>
        <v/>
      </c>
      <c r="H724" s="13"/>
      <c r="I724" s="12"/>
    </row>
    <row r="725" customFormat="false" ht="15" hidden="false" customHeight="false" outlineLevel="0" collapsed="false">
      <c r="A725" s="11"/>
      <c r="B725" s="12"/>
      <c r="C725" s="12"/>
      <c r="D725" s="13"/>
      <c r="E725" s="13"/>
      <c r="F725" s="13"/>
      <c r="G725" s="10" t="str">
        <f aca="false">IF(AND(E725&lt;&gt;"",F725&lt;&gt;""),E725*F725,"")</f>
        <v/>
      </c>
      <c r="H725" s="13"/>
      <c r="I725" s="12"/>
    </row>
    <row r="726" customFormat="false" ht="15" hidden="false" customHeight="false" outlineLevel="0" collapsed="false">
      <c r="A726" s="11"/>
      <c r="B726" s="12"/>
      <c r="C726" s="12"/>
      <c r="D726" s="13"/>
      <c r="E726" s="13"/>
      <c r="F726" s="13"/>
      <c r="G726" s="10" t="str">
        <f aca="false">IF(AND(E726&lt;&gt;"",F726&lt;&gt;""),E726*F726,"")</f>
        <v/>
      </c>
      <c r="H726" s="13"/>
      <c r="I726" s="12"/>
    </row>
    <row r="727" customFormat="false" ht="15" hidden="false" customHeight="false" outlineLevel="0" collapsed="false">
      <c r="A727" s="11"/>
      <c r="B727" s="12"/>
      <c r="C727" s="12"/>
      <c r="D727" s="13"/>
      <c r="E727" s="13"/>
      <c r="F727" s="13"/>
      <c r="G727" s="10" t="str">
        <f aca="false">IF(AND(E727&lt;&gt;"",F727&lt;&gt;""),E727*F727,"")</f>
        <v/>
      </c>
      <c r="H727" s="13"/>
      <c r="I727" s="12"/>
    </row>
    <row r="728" customFormat="false" ht="15" hidden="false" customHeight="false" outlineLevel="0" collapsed="false">
      <c r="A728" s="11"/>
      <c r="B728" s="12"/>
      <c r="C728" s="12"/>
      <c r="D728" s="13"/>
      <c r="E728" s="13"/>
      <c r="F728" s="13"/>
      <c r="G728" s="10" t="str">
        <f aca="false">IF(AND(E728&lt;&gt;"",F728&lt;&gt;""),E728*F728,"")</f>
        <v/>
      </c>
      <c r="H728" s="13"/>
      <c r="I728" s="12"/>
    </row>
    <row r="729" customFormat="false" ht="15" hidden="false" customHeight="false" outlineLevel="0" collapsed="false">
      <c r="A729" s="11"/>
      <c r="B729" s="12"/>
      <c r="C729" s="12"/>
      <c r="D729" s="13"/>
      <c r="E729" s="13"/>
      <c r="F729" s="13"/>
      <c r="G729" s="10" t="str">
        <f aca="false">IF(AND(E729&lt;&gt;"",F729&lt;&gt;""),E729*F729,"")</f>
        <v/>
      </c>
      <c r="H729" s="13"/>
      <c r="I729" s="12"/>
    </row>
    <row r="730" customFormat="false" ht="15" hidden="false" customHeight="false" outlineLevel="0" collapsed="false">
      <c r="A730" s="11"/>
      <c r="B730" s="12"/>
      <c r="C730" s="12"/>
      <c r="D730" s="13"/>
      <c r="E730" s="13"/>
      <c r="F730" s="13"/>
      <c r="G730" s="10" t="str">
        <f aca="false">IF(AND(E730&lt;&gt;"",F730&lt;&gt;""),E730*F730,"")</f>
        <v/>
      </c>
      <c r="H730" s="13"/>
      <c r="I730" s="12"/>
    </row>
    <row r="731" customFormat="false" ht="15" hidden="false" customHeight="false" outlineLevel="0" collapsed="false">
      <c r="A731" s="11"/>
      <c r="B731" s="12"/>
      <c r="C731" s="12"/>
      <c r="D731" s="13"/>
      <c r="E731" s="13"/>
      <c r="F731" s="13"/>
      <c r="G731" s="10" t="str">
        <f aca="false">IF(AND(E731&lt;&gt;"",F731&lt;&gt;""),E731*F731,"")</f>
        <v/>
      </c>
      <c r="H731" s="13"/>
      <c r="I731" s="12"/>
    </row>
    <row r="732" customFormat="false" ht="15" hidden="false" customHeight="false" outlineLevel="0" collapsed="false">
      <c r="A732" s="11"/>
      <c r="B732" s="12"/>
      <c r="C732" s="12"/>
      <c r="D732" s="13"/>
      <c r="E732" s="13"/>
      <c r="F732" s="13"/>
      <c r="G732" s="10" t="str">
        <f aca="false">IF(AND(E732&lt;&gt;"",F732&lt;&gt;""),E732*F732,"")</f>
        <v/>
      </c>
      <c r="H732" s="13"/>
      <c r="I732" s="12"/>
    </row>
    <row r="733" customFormat="false" ht="15" hidden="false" customHeight="false" outlineLevel="0" collapsed="false">
      <c r="A733" s="11"/>
      <c r="B733" s="12"/>
      <c r="C733" s="12"/>
      <c r="D733" s="13"/>
      <c r="E733" s="13"/>
      <c r="F733" s="13"/>
      <c r="G733" s="10" t="str">
        <f aca="false">IF(AND(E733&lt;&gt;"",F733&lt;&gt;""),E733*F733,"")</f>
        <v/>
      </c>
      <c r="H733" s="13"/>
      <c r="I733" s="12"/>
    </row>
    <row r="734" customFormat="false" ht="15" hidden="false" customHeight="false" outlineLevel="0" collapsed="false">
      <c r="A734" s="11"/>
      <c r="B734" s="12"/>
      <c r="C734" s="12"/>
      <c r="D734" s="13"/>
      <c r="E734" s="13"/>
      <c r="F734" s="13"/>
      <c r="G734" s="10" t="str">
        <f aca="false">IF(AND(E734&lt;&gt;"",F734&lt;&gt;""),E734*F734,"")</f>
        <v/>
      </c>
      <c r="H734" s="13"/>
      <c r="I734" s="12"/>
    </row>
    <row r="735" customFormat="false" ht="15" hidden="false" customHeight="false" outlineLevel="0" collapsed="false">
      <c r="A735" s="11"/>
      <c r="B735" s="12"/>
      <c r="C735" s="12"/>
      <c r="D735" s="13"/>
      <c r="E735" s="13"/>
      <c r="F735" s="13"/>
      <c r="G735" s="10" t="str">
        <f aca="false">IF(AND(E735&lt;&gt;"",F735&lt;&gt;""),E735*F735,"")</f>
        <v/>
      </c>
      <c r="H735" s="13"/>
      <c r="I735" s="12"/>
    </row>
    <row r="736" customFormat="false" ht="15" hidden="false" customHeight="false" outlineLevel="0" collapsed="false">
      <c r="A736" s="11"/>
      <c r="B736" s="12"/>
      <c r="C736" s="12"/>
      <c r="D736" s="13"/>
      <c r="E736" s="13"/>
      <c r="F736" s="13"/>
      <c r="G736" s="10" t="str">
        <f aca="false">IF(AND(E736&lt;&gt;"",F736&lt;&gt;""),E736*F736,"")</f>
        <v/>
      </c>
      <c r="H736" s="13"/>
      <c r="I736" s="12"/>
    </row>
    <row r="737" customFormat="false" ht="15" hidden="false" customHeight="false" outlineLevel="0" collapsed="false">
      <c r="A737" s="11"/>
      <c r="B737" s="12"/>
      <c r="C737" s="12"/>
      <c r="D737" s="13"/>
      <c r="E737" s="13"/>
      <c r="F737" s="13"/>
      <c r="G737" s="10" t="str">
        <f aca="false">IF(AND(E737&lt;&gt;"",F737&lt;&gt;""),E737*F737,"")</f>
        <v/>
      </c>
      <c r="H737" s="13"/>
      <c r="I737" s="12"/>
    </row>
    <row r="738" customFormat="false" ht="15" hidden="false" customHeight="false" outlineLevel="0" collapsed="false">
      <c r="A738" s="11"/>
      <c r="B738" s="12"/>
      <c r="C738" s="12"/>
      <c r="D738" s="13"/>
      <c r="E738" s="13"/>
      <c r="F738" s="13"/>
      <c r="G738" s="10" t="str">
        <f aca="false">IF(AND(E738&lt;&gt;"",F738&lt;&gt;""),E738*F738,"")</f>
        <v/>
      </c>
      <c r="H738" s="13"/>
      <c r="I738" s="12"/>
    </row>
    <row r="739" customFormat="false" ht="15" hidden="false" customHeight="false" outlineLevel="0" collapsed="false">
      <c r="A739" s="11"/>
      <c r="B739" s="12"/>
      <c r="C739" s="12"/>
      <c r="D739" s="13"/>
      <c r="E739" s="13"/>
      <c r="F739" s="13"/>
      <c r="G739" s="10" t="str">
        <f aca="false">IF(AND(E739&lt;&gt;"",F739&lt;&gt;""),E739*F739,"")</f>
        <v/>
      </c>
      <c r="H739" s="13"/>
      <c r="I739" s="12"/>
    </row>
    <row r="740" customFormat="false" ht="15" hidden="false" customHeight="false" outlineLevel="0" collapsed="false">
      <c r="A740" s="11"/>
      <c r="B740" s="12"/>
      <c r="C740" s="12"/>
      <c r="D740" s="13"/>
      <c r="E740" s="13"/>
      <c r="F740" s="13"/>
      <c r="G740" s="10" t="str">
        <f aca="false">IF(AND(E740&lt;&gt;"",F740&lt;&gt;""),E740*F740,"")</f>
        <v/>
      </c>
      <c r="H740" s="13"/>
      <c r="I740" s="12"/>
    </row>
    <row r="741" customFormat="false" ht="15" hidden="false" customHeight="false" outlineLevel="0" collapsed="false">
      <c r="A741" s="11"/>
      <c r="B741" s="12"/>
      <c r="C741" s="12"/>
      <c r="D741" s="13"/>
      <c r="E741" s="13"/>
      <c r="F741" s="13"/>
      <c r="G741" s="10" t="str">
        <f aca="false">IF(AND(E741&lt;&gt;"",F741&lt;&gt;""),E741*F741,"")</f>
        <v/>
      </c>
      <c r="H741" s="13"/>
      <c r="I741" s="12"/>
    </row>
    <row r="742" customFormat="false" ht="15" hidden="false" customHeight="false" outlineLevel="0" collapsed="false">
      <c r="A742" s="11"/>
      <c r="B742" s="12"/>
      <c r="C742" s="12"/>
      <c r="D742" s="13"/>
      <c r="E742" s="13"/>
      <c r="F742" s="13"/>
      <c r="G742" s="10" t="str">
        <f aca="false">IF(AND(E742&lt;&gt;"",F742&lt;&gt;""),E742*F742,"")</f>
        <v/>
      </c>
      <c r="H742" s="13"/>
      <c r="I742" s="12"/>
    </row>
    <row r="743" customFormat="false" ht="15" hidden="false" customHeight="false" outlineLevel="0" collapsed="false">
      <c r="A743" s="11"/>
      <c r="B743" s="12"/>
      <c r="C743" s="12"/>
      <c r="D743" s="13"/>
      <c r="E743" s="13"/>
      <c r="F743" s="13"/>
      <c r="G743" s="10" t="str">
        <f aca="false">IF(AND(E743&lt;&gt;"",F743&lt;&gt;""),E743*F743,"")</f>
        <v/>
      </c>
      <c r="H743" s="13"/>
      <c r="I743" s="12"/>
    </row>
    <row r="744" customFormat="false" ht="15" hidden="false" customHeight="false" outlineLevel="0" collapsed="false">
      <c r="A744" s="11"/>
      <c r="B744" s="12"/>
      <c r="C744" s="12"/>
      <c r="D744" s="13"/>
      <c r="E744" s="13"/>
      <c r="F744" s="13"/>
      <c r="G744" s="10" t="str">
        <f aca="false">IF(AND(E744&lt;&gt;"",F744&lt;&gt;""),E744*F744,"")</f>
        <v/>
      </c>
      <c r="H744" s="13"/>
      <c r="I744" s="12"/>
    </row>
    <row r="745" customFormat="false" ht="15" hidden="false" customHeight="false" outlineLevel="0" collapsed="false">
      <c r="A745" s="11"/>
      <c r="B745" s="12"/>
      <c r="C745" s="12"/>
      <c r="D745" s="13"/>
      <c r="E745" s="13"/>
      <c r="F745" s="13"/>
      <c r="G745" s="10" t="str">
        <f aca="false">IF(AND(E745&lt;&gt;"",F745&lt;&gt;""),E745*F745,"")</f>
        <v/>
      </c>
      <c r="H745" s="13"/>
      <c r="I745" s="12"/>
    </row>
    <row r="746" customFormat="false" ht="15" hidden="false" customHeight="false" outlineLevel="0" collapsed="false">
      <c r="A746" s="11"/>
      <c r="B746" s="12"/>
      <c r="C746" s="12"/>
      <c r="D746" s="13"/>
      <c r="E746" s="13"/>
      <c r="F746" s="13"/>
      <c r="G746" s="10" t="str">
        <f aca="false">IF(AND(E746&lt;&gt;"",F746&lt;&gt;""),E746*F746,"")</f>
        <v/>
      </c>
      <c r="H746" s="13"/>
      <c r="I746" s="12"/>
    </row>
    <row r="747" customFormat="false" ht="15" hidden="false" customHeight="false" outlineLevel="0" collapsed="false">
      <c r="A747" s="11"/>
      <c r="B747" s="12"/>
      <c r="C747" s="12"/>
      <c r="D747" s="13"/>
      <c r="E747" s="13"/>
      <c r="F747" s="13"/>
      <c r="G747" s="10" t="str">
        <f aca="false">IF(AND(E747&lt;&gt;"",F747&lt;&gt;""),E747*F747,"")</f>
        <v/>
      </c>
      <c r="H747" s="13"/>
      <c r="I747" s="12"/>
    </row>
    <row r="748" customFormat="false" ht="15" hidden="false" customHeight="false" outlineLevel="0" collapsed="false">
      <c r="A748" s="11"/>
      <c r="B748" s="12"/>
      <c r="C748" s="12"/>
      <c r="D748" s="13"/>
      <c r="E748" s="13"/>
      <c r="F748" s="13"/>
      <c r="G748" s="10" t="str">
        <f aca="false">IF(AND(E748&lt;&gt;"",F748&lt;&gt;""),E748*F748,"")</f>
        <v/>
      </c>
      <c r="H748" s="13"/>
      <c r="I748" s="12"/>
    </row>
    <row r="749" customFormat="false" ht="15" hidden="false" customHeight="false" outlineLevel="0" collapsed="false">
      <c r="A749" s="11"/>
      <c r="B749" s="12"/>
      <c r="C749" s="12"/>
      <c r="D749" s="13"/>
      <c r="E749" s="13"/>
      <c r="F749" s="13"/>
      <c r="G749" s="10" t="str">
        <f aca="false">IF(AND(E749&lt;&gt;"",F749&lt;&gt;""),E749*F749,"")</f>
        <v/>
      </c>
      <c r="H749" s="13"/>
      <c r="I749" s="12"/>
    </row>
    <row r="750" customFormat="false" ht="15" hidden="false" customHeight="false" outlineLevel="0" collapsed="false">
      <c r="A750" s="11"/>
      <c r="B750" s="12"/>
      <c r="C750" s="12"/>
      <c r="D750" s="13"/>
      <c r="E750" s="13"/>
      <c r="F750" s="13"/>
      <c r="G750" s="10" t="str">
        <f aca="false">IF(AND(E750&lt;&gt;"",F750&lt;&gt;""),E750*F750,"")</f>
        <v/>
      </c>
      <c r="H750" s="13"/>
      <c r="I750" s="12"/>
    </row>
    <row r="751" customFormat="false" ht="15" hidden="false" customHeight="false" outlineLevel="0" collapsed="false">
      <c r="A751" s="11"/>
      <c r="B751" s="12"/>
      <c r="C751" s="12"/>
      <c r="D751" s="13"/>
      <c r="E751" s="13"/>
      <c r="F751" s="13"/>
      <c r="G751" s="10" t="str">
        <f aca="false">IF(AND(E751&lt;&gt;"",F751&lt;&gt;""),E751*F751,"")</f>
        <v/>
      </c>
      <c r="H751" s="13"/>
      <c r="I751" s="12"/>
    </row>
    <row r="752" customFormat="false" ht="15" hidden="false" customHeight="false" outlineLevel="0" collapsed="false">
      <c r="A752" s="11"/>
      <c r="B752" s="12"/>
      <c r="C752" s="12"/>
      <c r="D752" s="13"/>
      <c r="E752" s="13"/>
      <c r="F752" s="13"/>
      <c r="G752" s="10" t="str">
        <f aca="false">IF(AND(E752&lt;&gt;"",F752&lt;&gt;""),E752*F752,"")</f>
        <v/>
      </c>
      <c r="H752" s="13"/>
      <c r="I752" s="12"/>
    </row>
    <row r="753" customFormat="false" ht="15" hidden="false" customHeight="false" outlineLevel="0" collapsed="false">
      <c r="A753" s="11"/>
      <c r="B753" s="12"/>
      <c r="C753" s="12"/>
      <c r="D753" s="13"/>
      <c r="E753" s="13"/>
      <c r="F753" s="13"/>
      <c r="G753" s="10" t="str">
        <f aca="false">IF(AND(E753&lt;&gt;"",F753&lt;&gt;""),E753*F753,"")</f>
        <v/>
      </c>
      <c r="H753" s="13"/>
      <c r="I753" s="12"/>
    </row>
    <row r="754" customFormat="false" ht="15" hidden="false" customHeight="false" outlineLevel="0" collapsed="false">
      <c r="A754" s="11"/>
      <c r="B754" s="12"/>
      <c r="C754" s="12"/>
      <c r="D754" s="13"/>
      <c r="E754" s="13"/>
      <c r="F754" s="13"/>
      <c r="G754" s="10" t="str">
        <f aca="false">IF(AND(E754&lt;&gt;"",F754&lt;&gt;""),E754*F754,"")</f>
        <v/>
      </c>
      <c r="H754" s="13"/>
      <c r="I754" s="12"/>
    </row>
    <row r="755" customFormat="false" ht="15" hidden="false" customHeight="false" outlineLevel="0" collapsed="false">
      <c r="A755" s="11"/>
      <c r="B755" s="12"/>
      <c r="C755" s="12"/>
      <c r="D755" s="13"/>
      <c r="E755" s="13"/>
      <c r="F755" s="13"/>
      <c r="G755" s="10" t="str">
        <f aca="false">IF(AND(E755&lt;&gt;"",F755&lt;&gt;""),E755*F755,"")</f>
        <v/>
      </c>
      <c r="H755" s="13"/>
      <c r="I755" s="12"/>
    </row>
    <row r="756" customFormat="false" ht="15" hidden="false" customHeight="false" outlineLevel="0" collapsed="false">
      <c r="A756" s="11"/>
      <c r="B756" s="12"/>
      <c r="C756" s="12"/>
      <c r="D756" s="13"/>
      <c r="E756" s="13"/>
      <c r="F756" s="13"/>
      <c r="G756" s="10" t="str">
        <f aca="false">IF(AND(E756&lt;&gt;"",F756&lt;&gt;""),E756*F756,"")</f>
        <v/>
      </c>
      <c r="H756" s="13"/>
      <c r="I756" s="12"/>
    </row>
    <row r="757" customFormat="false" ht="15" hidden="false" customHeight="false" outlineLevel="0" collapsed="false">
      <c r="A757" s="11"/>
      <c r="B757" s="12"/>
      <c r="C757" s="12"/>
      <c r="D757" s="13"/>
      <c r="E757" s="13"/>
      <c r="F757" s="13"/>
      <c r="G757" s="10" t="str">
        <f aca="false">IF(AND(E757&lt;&gt;"",F757&lt;&gt;""),E757*F757,"")</f>
        <v/>
      </c>
      <c r="H757" s="13"/>
      <c r="I757" s="12"/>
    </row>
    <row r="758" customFormat="false" ht="15" hidden="false" customHeight="false" outlineLevel="0" collapsed="false">
      <c r="A758" s="11"/>
      <c r="B758" s="12"/>
      <c r="C758" s="12"/>
      <c r="D758" s="13"/>
      <c r="E758" s="13"/>
      <c r="F758" s="13"/>
      <c r="G758" s="10" t="str">
        <f aca="false">IF(AND(E758&lt;&gt;"",F758&lt;&gt;""),E758*F758,"")</f>
        <v/>
      </c>
      <c r="H758" s="13"/>
      <c r="I758" s="12"/>
    </row>
    <row r="759" customFormat="false" ht="15" hidden="false" customHeight="false" outlineLevel="0" collapsed="false">
      <c r="A759" s="11"/>
      <c r="B759" s="12"/>
      <c r="C759" s="12"/>
      <c r="D759" s="13"/>
      <c r="E759" s="13"/>
      <c r="F759" s="13"/>
      <c r="G759" s="10" t="str">
        <f aca="false">IF(AND(E759&lt;&gt;"",F759&lt;&gt;""),E759*F759,"")</f>
        <v/>
      </c>
      <c r="H759" s="13"/>
      <c r="I759" s="12"/>
    </row>
    <row r="760" customFormat="false" ht="15" hidden="false" customHeight="false" outlineLevel="0" collapsed="false">
      <c r="A760" s="11"/>
      <c r="B760" s="12"/>
      <c r="C760" s="12"/>
      <c r="D760" s="13"/>
      <c r="E760" s="13"/>
      <c r="F760" s="13"/>
      <c r="G760" s="10" t="str">
        <f aca="false">IF(AND(E760&lt;&gt;"",F760&lt;&gt;""),E760*F760,"")</f>
        <v/>
      </c>
      <c r="H760" s="13"/>
      <c r="I760" s="12"/>
    </row>
    <row r="761" customFormat="false" ht="15" hidden="false" customHeight="false" outlineLevel="0" collapsed="false">
      <c r="A761" s="11"/>
      <c r="B761" s="12"/>
      <c r="C761" s="12"/>
      <c r="D761" s="13"/>
      <c r="E761" s="13"/>
      <c r="F761" s="13"/>
      <c r="G761" s="10" t="str">
        <f aca="false">IF(AND(E761&lt;&gt;"",F761&lt;&gt;""),E761*F761,"")</f>
        <v/>
      </c>
      <c r="H761" s="13"/>
      <c r="I761" s="12"/>
    </row>
    <row r="762" customFormat="false" ht="15" hidden="false" customHeight="false" outlineLevel="0" collapsed="false">
      <c r="A762" s="11"/>
      <c r="B762" s="12"/>
      <c r="C762" s="12"/>
      <c r="D762" s="13"/>
      <c r="E762" s="13"/>
      <c r="F762" s="13"/>
      <c r="G762" s="10" t="str">
        <f aca="false">IF(AND(E762&lt;&gt;"",F762&lt;&gt;""),E762*F762,"")</f>
        <v/>
      </c>
      <c r="H762" s="13"/>
      <c r="I762" s="12"/>
    </row>
    <row r="763" customFormat="false" ht="15" hidden="false" customHeight="false" outlineLevel="0" collapsed="false">
      <c r="A763" s="11"/>
      <c r="B763" s="12"/>
      <c r="C763" s="12"/>
      <c r="D763" s="13"/>
      <c r="E763" s="13"/>
      <c r="F763" s="13"/>
      <c r="G763" s="10" t="str">
        <f aca="false">IF(AND(E763&lt;&gt;"",F763&lt;&gt;""),E763*F763,"")</f>
        <v/>
      </c>
      <c r="H763" s="13"/>
      <c r="I763" s="12"/>
    </row>
    <row r="764" customFormat="false" ht="15" hidden="false" customHeight="false" outlineLevel="0" collapsed="false">
      <c r="A764" s="11"/>
      <c r="B764" s="12"/>
      <c r="C764" s="12"/>
      <c r="D764" s="13"/>
      <c r="E764" s="13"/>
      <c r="F764" s="13"/>
      <c r="G764" s="10" t="str">
        <f aca="false">IF(AND(E764&lt;&gt;"",F764&lt;&gt;""),E764*F764,"")</f>
        <v/>
      </c>
      <c r="H764" s="13"/>
      <c r="I764" s="12"/>
    </row>
    <row r="765" customFormat="false" ht="15" hidden="false" customHeight="false" outlineLevel="0" collapsed="false">
      <c r="A765" s="11"/>
      <c r="B765" s="12"/>
      <c r="C765" s="12"/>
      <c r="D765" s="13"/>
      <c r="E765" s="13"/>
      <c r="F765" s="13"/>
      <c r="G765" s="10" t="str">
        <f aca="false">IF(AND(E765&lt;&gt;"",F765&lt;&gt;""),E765*F765,"")</f>
        <v/>
      </c>
      <c r="H765" s="13"/>
      <c r="I765" s="12"/>
    </row>
    <row r="766" customFormat="false" ht="15" hidden="false" customHeight="false" outlineLevel="0" collapsed="false">
      <c r="A766" s="11"/>
      <c r="B766" s="12"/>
      <c r="C766" s="12"/>
      <c r="D766" s="13"/>
      <c r="E766" s="13"/>
      <c r="F766" s="13"/>
      <c r="G766" s="10" t="str">
        <f aca="false">IF(AND(E766&lt;&gt;"",F766&lt;&gt;""),E766*F766,"")</f>
        <v/>
      </c>
      <c r="H766" s="13"/>
      <c r="I766" s="12"/>
    </row>
    <row r="767" customFormat="false" ht="15" hidden="false" customHeight="false" outlineLevel="0" collapsed="false">
      <c r="A767" s="11"/>
      <c r="B767" s="12"/>
      <c r="C767" s="12"/>
      <c r="D767" s="13"/>
      <c r="E767" s="13"/>
      <c r="F767" s="13"/>
      <c r="G767" s="10" t="str">
        <f aca="false">IF(AND(E767&lt;&gt;"",F767&lt;&gt;""),E767*F767,"")</f>
        <v/>
      </c>
      <c r="H767" s="13"/>
      <c r="I767" s="12"/>
    </row>
    <row r="768" customFormat="false" ht="15" hidden="false" customHeight="false" outlineLevel="0" collapsed="false">
      <c r="A768" s="11"/>
      <c r="B768" s="12"/>
      <c r="C768" s="12"/>
      <c r="D768" s="13"/>
      <c r="E768" s="13"/>
      <c r="F768" s="13"/>
      <c r="G768" s="10" t="str">
        <f aca="false">IF(AND(E768&lt;&gt;"",F768&lt;&gt;""),E768*F768,"")</f>
        <v/>
      </c>
      <c r="H768" s="13"/>
      <c r="I768" s="12"/>
    </row>
    <row r="769" customFormat="false" ht="15" hidden="false" customHeight="false" outlineLevel="0" collapsed="false">
      <c r="A769" s="11"/>
      <c r="B769" s="12"/>
      <c r="C769" s="12"/>
      <c r="D769" s="13"/>
      <c r="E769" s="13"/>
      <c r="F769" s="13"/>
      <c r="G769" s="10" t="str">
        <f aca="false">IF(AND(E769&lt;&gt;"",F769&lt;&gt;""),E769*F769,"")</f>
        <v/>
      </c>
      <c r="H769" s="13"/>
      <c r="I769" s="12"/>
    </row>
    <row r="770" customFormat="false" ht="15" hidden="false" customHeight="false" outlineLevel="0" collapsed="false">
      <c r="A770" s="11"/>
      <c r="B770" s="12"/>
      <c r="C770" s="12"/>
      <c r="D770" s="13"/>
      <c r="E770" s="13"/>
      <c r="F770" s="13"/>
      <c r="G770" s="10" t="str">
        <f aca="false">IF(AND(E770&lt;&gt;"",F770&lt;&gt;""),E770*F770,"")</f>
        <v/>
      </c>
      <c r="H770" s="13"/>
      <c r="I770" s="12"/>
    </row>
    <row r="771" customFormat="false" ht="15" hidden="false" customHeight="false" outlineLevel="0" collapsed="false">
      <c r="A771" s="11"/>
      <c r="B771" s="12"/>
      <c r="C771" s="12"/>
      <c r="D771" s="13"/>
      <c r="E771" s="13"/>
      <c r="F771" s="13"/>
      <c r="G771" s="10" t="str">
        <f aca="false">IF(AND(E771&lt;&gt;"",F771&lt;&gt;""),E771*F771,"")</f>
        <v/>
      </c>
      <c r="H771" s="13"/>
      <c r="I771" s="12"/>
    </row>
    <row r="772" customFormat="false" ht="15" hidden="false" customHeight="false" outlineLevel="0" collapsed="false">
      <c r="A772" s="11"/>
      <c r="B772" s="12"/>
      <c r="C772" s="12"/>
      <c r="D772" s="13"/>
      <c r="E772" s="13"/>
      <c r="F772" s="13"/>
      <c r="G772" s="10" t="str">
        <f aca="false">IF(AND(E772&lt;&gt;"",F772&lt;&gt;""),E772*F772,"")</f>
        <v/>
      </c>
      <c r="H772" s="13"/>
      <c r="I772" s="12"/>
    </row>
    <row r="773" customFormat="false" ht="15" hidden="false" customHeight="false" outlineLevel="0" collapsed="false">
      <c r="A773" s="11"/>
      <c r="B773" s="12"/>
      <c r="C773" s="12"/>
      <c r="D773" s="13"/>
      <c r="E773" s="13"/>
      <c r="F773" s="13"/>
      <c r="G773" s="10" t="str">
        <f aca="false">IF(AND(E773&lt;&gt;"",F773&lt;&gt;""),E773*F773,"")</f>
        <v/>
      </c>
      <c r="H773" s="13"/>
      <c r="I773" s="12"/>
    </row>
    <row r="774" customFormat="false" ht="15" hidden="false" customHeight="false" outlineLevel="0" collapsed="false">
      <c r="A774" s="11"/>
      <c r="B774" s="12"/>
      <c r="C774" s="12"/>
      <c r="D774" s="13"/>
      <c r="E774" s="13"/>
      <c r="F774" s="13"/>
      <c r="G774" s="10" t="str">
        <f aca="false">IF(AND(E774&lt;&gt;"",F774&lt;&gt;""),E774*F774,"")</f>
        <v/>
      </c>
      <c r="H774" s="13"/>
      <c r="I774" s="12"/>
    </row>
    <row r="775" customFormat="false" ht="15" hidden="false" customHeight="false" outlineLevel="0" collapsed="false">
      <c r="A775" s="11"/>
      <c r="B775" s="12"/>
      <c r="C775" s="12"/>
      <c r="D775" s="13"/>
      <c r="E775" s="13"/>
      <c r="F775" s="13"/>
      <c r="G775" s="10" t="str">
        <f aca="false">IF(AND(E775&lt;&gt;"",F775&lt;&gt;""),E775*F775,"")</f>
        <v/>
      </c>
      <c r="H775" s="13"/>
      <c r="I775" s="12"/>
    </row>
    <row r="776" customFormat="false" ht="15" hidden="false" customHeight="false" outlineLevel="0" collapsed="false">
      <c r="A776" s="11"/>
      <c r="B776" s="12"/>
      <c r="C776" s="12"/>
      <c r="D776" s="13"/>
      <c r="E776" s="13"/>
      <c r="F776" s="13"/>
      <c r="G776" s="10" t="str">
        <f aca="false">IF(AND(E776&lt;&gt;"",F776&lt;&gt;""),E776*F776,"")</f>
        <v/>
      </c>
      <c r="H776" s="13"/>
      <c r="I776" s="12"/>
    </row>
    <row r="777" customFormat="false" ht="15" hidden="false" customHeight="false" outlineLevel="0" collapsed="false">
      <c r="A777" s="11"/>
      <c r="B777" s="12"/>
      <c r="C777" s="12"/>
      <c r="D777" s="13"/>
      <c r="E777" s="13"/>
      <c r="F777" s="13"/>
      <c r="G777" s="10" t="str">
        <f aca="false">IF(AND(E777&lt;&gt;"",F777&lt;&gt;""),E777*F777,"")</f>
        <v/>
      </c>
      <c r="H777" s="13"/>
      <c r="I777" s="12"/>
    </row>
    <row r="778" customFormat="false" ht="15" hidden="false" customHeight="false" outlineLevel="0" collapsed="false">
      <c r="A778" s="11"/>
      <c r="B778" s="12"/>
      <c r="C778" s="12"/>
      <c r="D778" s="13"/>
      <c r="E778" s="13"/>
      <c r="F778" s="13"/>
      <c r="G778" s="10" t="str">
        <f aca="false">IF(AND(E778&lt;&gt;"",F778&lt;&gt;""),E778*F778,"")</f>
        <v/>
      </c>
      <c r="H778" s="13"/>
      <c r="I778" s="12"/>
    </row>
    <row r="779" customFormat="false" ht="15" hidden="false" customHeight="false" outlineLevel="0" collapsed="false">
      <c r="A779" s="11"/>
      <c r="B779" s="12"/>
      <c r="C779" s="12"/>
      <c r="D779" s="13"/>
      <c r="E779" s="13"/>
      <c r="F779" s="13"/>
      <c r="G779" s="10" t="str">
        <f aca="false">IF(AND(E779&lt;&gt;"",F779&lt;&gt;""),E779*F779,"")</f>
        <v/>
      </c>
      <c r="H779" s="13"/>
      <c r="I779" s="12"/>
    </row>
    <row r="780" customFormat="false" ht="15" hidden="false" customHeight="false" outlineLevel="0" collapsed="false">
      <c r="A780" s="11"/>
      <c r="B780" s="12"/>
      <c r="C780" s="12"/>
      <c r="D780" s="13"/>
      <c r="E780" s="13"/>
      <c r="F780" s="13"/>
      <c r="G780" s="10" t="str">
        <f aca="false">IF(AND(E780&lt;&gt;"",F780&lt;&gt;""),E780*F780,"")</f>
        <v/>
      </c>
      <c r="H780" s="13"/>
      <c r="I780" s="12"/>
    </row>
    <row r="781" customFormat="false" ht="15" hidden="false" customHeight="false" outlineLevel="0" collapsed="false">
      <c r="A781" s="11"/>
      <c r="B781" s="12"/>
      <c r="C781" s="12"/>
      <c r="D781" s="13"/>
      <c r="E781" s="13"/>
      <c r="F781" s="13"/>
      <c r="G781" s="10" t="str">
        <f aca="false">IF(AND(E781&lt;&gt;"",F781&lt;&gt;""),E781*F781,"")</f>
        <v/>
      </c>
      <c r="H781" s="13"/>
      <c r="I781" s="12"/>
    </row>
    <row r="782" customFormat="false" ht="15" hidden="false" customHeight="false" outlineLevel="0" collapsed="false">
      <c r="A782" s="11"/>
      <c r="B782" s="12"/>
      <c r="C782" s="12"/>
      <c r="D782" s="13"/>
      <c r="E782" s="13"/>
      <c r="F782" s="13"/>
      <c r="G782" s="10" t="str">
        <f aca="false">IF(AND(E782&lt;&gt;"",F782&lt;&gt;""),E782*F782,"")</f>
        <v/>
      </c>
      <c r="H782" s="13"/>
      <c r="I782" s="12"/>
    </row>
    <row r="783" customFormat="false" ht="15" hidden="false" customHeight="false" outlineLevel="0" collapsed="false">
      <c r="A783" s="11"/>
      <c r="B783" s="12"/>
      <c r="C783" s="12"/>
      <c r="D783" s="13"/>
      <c r="E783" s="13"/>
      <c r="F783" s="13"/>
      <c r="G783" s="10" t="str">
        <f aca="false">IF(AND(E783&lt;&gt;"",F783&lt;&gt;""),E783*F783,"")</f>
        <v/>
      </c>
      <c r="H783" s="13"/>
      <c r="I783" s="12"/>
    </row>
    <row r="784" customFormat="false" ht="15" hidden="false" customHeight="false" outlineLevel="0" collapsed="false">
      <c r="A784" s="11"/>
      <c r="B784" s="12"/>
      <c r="C784" s="12"/>
      <c r="D784" s="13"/>
      <c r="E784" s="13"/>
      <c r="F784" s="13"/>
      <c r="G784" s="10" t="str">
        <f aca="false">IF(AND(E784&lt;&gt;"",F784&lt;&gt;""),E784*F784,"")</f>
        <v/>
      </c>
      <c r="H784" s="13"/>
      <c r="I784" s="12"/>
    </row>
    <row r="785" customFormat="false" ht="15" hidden="false" customHeight="false" outlineLevel="0" collapsed="false">
      <c r="A785" s="11"/>
      <c r="B785" s="12"/>
      <c r="C785" s="12"/>
      <c r="D785" s="13"/>
      <c r="E785" s="13"/>
      <c r="F785" s="13"/>
      <c r="G785" s="10" t="str">
        <f aca="false">IF(AND(E785&lt;&gt;"",F785&lt;&gt;""),E785*F785,"")</f>
        <v/>
      </c>
      <c r="H785" s="13"/>
      <c r="I785" s="12"/>
    </row>
    <row r="786" customFormat="false" ht="15" hidden="false" customHeight="false" outlineLevel="0" collapsed="false">
      <c r="A786" s="11"/>
      <c r="B786" s="12"/>
      <c r="C786" s="12"/>
      <c r="D786" s="13"/>
      <c r="E786" s="13"/>
      <c r="F786" s="13"/>
      <c r="G786" s="10" t="str">
        <f aca="false">IF(AND(E786&lt;&gt;"",F786&lt;&gt;""),E786*F786,"")</f>
        <v/>
      </c>
      <c r="H786" s="13"/>
      <c r="I786" s="12"/>
    </row>
    <row r="787" customFormat="false" ht="15" hidden="false" customHeight="false" outlineLevel="0" collapsed="false">
      <c r="A787" s="11"/>
      <c r="B787" s="12"/>
      <c r="C787" s="12"/>
      <c r="D787" s="13"/>
      <c r="E787" s="13"/>
      <c r="F787" s="13"/>
      <c r="G787" s="10" t="str">
        <f aca="false">IF(AND(E787&lt;&gt;"",F787&lt;&gt;""),E787*F787,"")</f>
        <v/>
      </c>
      <c r="H787" s="13"/>
      <c r="I787" s="12"/>
    </row>
    <row r="788" customFormat="false" ht="15" hidden="false" customHeight="false" outlineLevel="0" collapsed="false">
      <c r="A788" s="11"/>
      <c r="B788" s="12"/>
      <c r="C788" s="12"/>
      <c r="D788" s="13"/>
      <c r="E788" s="13"/>
      <c r="F788" s="13"/>
      <c r="G788" s="10" t="str">
        <f aca="false">IF(AND(E788&lt;&gt;"",F788&lt;&gt;""),E788*F788,"")</f>
        <v/>
      </c>
      <c r="H788" s="13"/>
      <c r="I788" s="12"/>
    </row>
    <row r="789" customFormat="false" ht="15" hidden="false" customHeight="false" outlineLevel="0" collapsed="false">
      <c r="A789" s="11"/>
      <c r="B789" s="12"/>
      <c r="C789" s="12"/>
      <c r="D789" s="13"/>
      <c r="E789" s="13"/>
      <c r="F789" s="13"/>
      <c r="G789" s="10" t="str">
        <f aca="false">IF(AND(E789&lt;&gt;"",F789&lt;&gt;""),E789*F789,"")</f>
        <v/>
      </c>
      <c r="H789" s="13"/>
      <c r="I789" s="12"/>
    </row>
    <row r="790" customFormat="false" ht="15" hidden="false" customHeight="false" outlineLevel="0" collapsed="false">
      <c r="A790" s="11"/>
      <c r="B790" s="12"/>
      <c r="C790" s="12"/>
      <c r="D790" s="13"/>
      <c r="E790" s="13"/>
      <c r="F790" s="13"/>
      <c r="G790" s="10" t="str">
        <f aca="false">IF(AND(E790&lt;&gt;"",F790&lt;&gt;""),E790*F790,"")</f>
        <v/>
      </c>
      <c r="H790" s="13"/>
      <c r="I790" s="12"/>
    </row>
    <row r="791" customFormat="false" ht="15" hidden="false" customHeight="false" outlineLevel="0" collapsed="false">
      <c r="A791" s="11"/>
      <c r="B791" s="12"/>
      <c r="C791" s="12"/>
      <c r="D791" s="13"/>
      <c r="E791" s="13"/>
      <c r="F791" s="13"/>
      <c r="G791" s="10" t="str">
        <f aca="false">IF(AND(E791&lt;&gt;"",F791&lt;&gt;""),E791*F791,"")</f>
        <v/>
      </c>
      <c r="H791" s="13"/>
      <c r="I791" s="12"/>
    </row>
    <row r="792" customFormat="false" ht="15" hidden="false" customHeight="false" outlineLevel="0" collapsed="false">
      <c r="A792" s="11"/>
      <c r="B792" s="12"/>
      <c r="C792" s="12"/>
      <c r="D792" s="13"/>
      <c r="E792" s="13"/>
      <c r="F792" s="13"/>
      <c r="G792" s="10" t="str">
        <f aca="false">IF(AND(E792&lt;&gt;"",F792&lt;&gt;""),E792*F792,"")</f>
        <v/>
      </c>
      <c r="H792" s="13"/>
      <c r="I792" s="12"/>
    </row>
    <row r="793" customFormat="false" ht="15" hidden="false" customHeight="false" outlineLevel="0" collapsed="false">
      <c r="A793" s="11"/>
      <c r="B793" s="12"/>
      <c r="C793" s="12"/>
      <c r="D793" s="13"/>
      <c r="E793" s="13"/>
      <c r="F793" s="13"/>
      <c r="G793" s="10" t="str">
        <f aca="false">IF(AND(E793&lt;&gt;"",F793&lt;&gt;""),E793*F793,"")</f>
        <v/>
      </c>
      <c r="H793" s="13"/>
      <c r="I793" s="12"/>
    </row>
    <row r="794" customFormat="false" ht="15" hidden="false" customHeight="false" outlineLevel="0" collapsed="false">
      <c r="A794" s="11"/>
      <c r="B794" s="12"/>
      <c r="C794" s="12"/>
      <c r="D794" s="13"/>
      <c r="E794" s="13"/>
      <c r="F794" s="13"/>
      <c r="G794" s="10" t="str">
        <f aca="false">IF(AND(E794&lt;&gt;"",F794&lt;&gt;""),E794*F794,"")</f>
        <v/>
      </c>
      <c r="H794" s="13"/>
      <c r="I794" s="12"/>
    </row>
    <row r="795" customFormat="false" ht="15" hidden="false" customHeight="false" outlineLevel="0" collapsed="false">
      <c r="A795" s="11"/>
      <c r="B795" s="12"/>
      <c r="C795" s="12"/>
      <c r="D795" s="13"/>
      <c r="E795" s="13"/>
      <c r="F795" s="13"/>
      <c r="G795" s="10" t="str">
        <f aca="false">IF(AND(E795&lt;&gt;"",F795&lt;&gt;""),E795*F795,"")</f>
        <v/>
      </c>
      <c r="H795" s="13"/>
      <c r="I795" s="12"/>
    </row>
    <row r="796" customFormat="false" ht="15" hidden="false" customHeight="false" outlineLevel="0" collapsed="false">
      <c r="A796" s="11"/>
      <c r="B796" s="12"/>
      <c r="C796" s="12"/>
      <c r="D796" s="13"/>
      <c r="E796" s="13"/>
      <c r="F796" s="13"/>
      <c r="G796" s="10" t="str">
        <f aca="false">IF(AND(E796&lt;&gt;"",F796&lt;&gt;""),E796*F796,"")</f>
        <v/>
      </c>
      <c r="H796" s="13"/>
      <c r="I796" s="12"/>
    </row>
    <row r="797" customFormat="false" ht="15" hidden="false" customHeight="false" outlineLevel="0" collapsed="false">
      <c r="A797" s="11"/>
      <c r="B797" s="12"/>
      <c r="C797" s="12"/>
      <c r="D797" s="13"/>
      <c r="E797" s="13"/>
      <c r="F797" s="13"/>
      <c r="G797" s="10" t="str">
        <f aca="false">IF(AND(E797&lt;&gt;"",F797&lt;&gt;""),E797*F797,"")</f>
        <v/>
      </c>
      <c r="H797" s="13"/>
      <c r="I797" s="12"/>
    </row>
    <row r="798" customFormat="false" ht="15" hidden="false" customHeight="false" outlineLevel="0" collapsed="false">
      <c r="A798" s="11"/>
      <c r="B798" s="12"/>
      <c r="C798" s="12"/>
      <c r="D798" s="13"/>
      <c r="E798" s="13"/>
      <c r="F798" s="13"/>
      <c r="G798" s="10" t="str">
        <f aca="false">IF(AND(E798&lt;&gt;"",F798&lt;&gt;""),E798*F798,"")</f>
        <v/>
      </c>
      <c r="H798" s="13"/>
      <c r="I798" s="12"/>
    </row>
    <row r="799" customFormat="false" ht="15" hidden="false" customHeight="false" outlineLevel="0" collapsed="false">
      <c r="A799" s="11"/>
      <c r="B799" s="12"/>
      <c r="C799" s="12"/>
      <c r="D799" s="13"/>
      <c r="E799" s="13"/>
      <c r="F799" s="13"/>
      <c r="G799" s="10" t="str">
        <f aca="false">IF(AND(E799&lt;&gt;"",F799&lt;&gt;""),E799*F799,"")</f>
        <v/>
      </c>
      <c r="H799" s="13"/>
      <c r="I799" s="12"/>
    </row>
    <row r="800" customFormat="false" ht="15" hidden="false" customHeight="false" outlineLevel="0" collapsed="false">
      <c r="A800" s="11"/>
      <c r="B800" s="12"/>
      <c r="C800" s="12"/>
      <c r="D800" s="13"/>
      <c r="E800" s="13"/>
      <c r="F800" s="13"/>
      <c r="G800" s="10" t="str">
        <f aca="false">IF(AND(E800&lt;&gt;"",F800&lt;&gt;""),E800*F800,"")</f>
        <v/>
      </c>
      <c r="H800" s="13"/>
      <c r="I800" s="12"/>
    </row>
    <row r="801" customFormat="false" ht="15" hidden="false" customHeight="false" outlineLevel="0" collapsed="false">
      <c r="A801" s="11"/>
      <c r="B801" s="12"/>
      <c r="C801" s="12"/>
      <c r="D801" s="13"/>
      <c r="E801" s="13"/>
      <c r="F801" s="13"/>
      <c r="G801" s="10" t="str">
        <f aca="false">IF(AND(E801&lt;&gt;"",F801&lt;&gt;""),E801*F801,"")</f>
        <v/>
      </c>
      <c r="H801" s="13"/>
      <c r="I801" s="12"/>
    </row>
    <row r="802" customFormat="false" ht="15" hidden="false" customHeight="false" outlineLevel="0" collapsed="false">
      <c r="A802" s="11"/>
      <c r="B802" s="12"/>
      <c r="C802" s="12"/>
      <c r="D802" s="13"/>
      <c r="E802" s="13"/>
      <c r="F802" s="13"/>
      <c r="G802" s="10" t="str">
        <f aca="false">IF(AND(E802&lt;&gt;"",F802&lt;&gt;""),E802*F802,"")</f>
        <v/>
      </c>
      <c r="H802" s="13"/>
      <c r="I802" s="12"/>
    </row>
    <row r="803" customFormat="false" ht="15" hidden="false" customHeight="false" outlineLevel="0" collapsed="false">
      <c r="A803" s="11"/>
      <c r="B803" s="12"/>
      <c r="C803" s="12"/>
      <c r="D803" s="13"/>
      <c r="E803" s="13"/>
      <c r="F803" s="13"/>
      <c r="G803" s="10" t="str">
        <f aca="false">IF(AND(E803&lt;&gt;"",F803&lt;&gt;""),E803*F803,"")</f>
        <v/>
      </c>
      <c r="H803" s="13"/>
      <c r="I803" s="12"/>
    </row>
    <row r="804" customFormat="false" ht="15" hidden="false" customHeight="false" outlineLevel="0" collapsed="false">
      <c r="A804" s="11"/>
      <c r="B804" s="12"/>
      <c r="C804" s="12"/>
      <c r="D804" s="13"/>
      <c r="E804" s="13"/>
      <c r="F804" s="13"/>
      <c r="G804" s="10" t="str">
        <f aca="false">IF(AND(E804&lt;&gt;"",F804&lt;&gt;""),E804*F804,"")</f>
        <v/>
      </c>
      <c r="H804" s="13"/>
      <c r="I804" s="12"/>
    </row>
    <row r="805" customFormat="false" ht="15" hidden="false" customHeight="false" outlineLevel="0" collapsed="false">
      <c r="A805" s="11"/>
      <c r="B805" s="12"/>
      <c r="C805" s="12"/>
      <c r="D805" s="13"/>
      <c r="E805" s="13"/>
      <c r="F805" s="13"/>
      <c r="G805" s="10" t="str">
        <f aca="false">IF(AND(E805&lt;&gt;"",F805&lt;&gt;""),E805*F805,"")</f>
        <v/>
      </c>
      <c r="H805" s="13"/>
      <c r="I805" s="12"/>
    </row>
    <row r="806" customFormat="false" ht="15" hidden="false" customHeight="false" outlineLevel="0" collapsed="false">
      <c r="A806" s="11"/>
      <c r="B806" s="12"/>
      <c r="C806" s="12"/>
      <c r="D806" s="13"/>
      <c r="E806" s="13"/>
      <c r="F806" s="13"/>
      <c r="G806" s="10" t="str">
        <f aca="false">IF(AND(E806&lt;&gt;"",F806&lt;&gt;""),E806*F806,"")</f>
        <v/>
      </c>
      <c r="H806" s="13"/>
      <c r="I806" s="12"/>
    </row>
    <row r="807" customFormat="false" ht="15" hidden="false" customHeight="false" outlineLevel="0" collapsed="false">
      <c r="A807" s="11"/>
      <c r="B807" s="12"/>
      <c r="C807" s="12"/>
      <c r="D807" s="13"/>
      <c r="E807" s="13"/>
      <c r="F807" s="13"/>
      <c r="G807" s="10" t="str">
        <f aca="false">IF(AND(E807&lt;&gt;"",F807&lt;&gt;""),E807*F807,"")</f>
        <v/>
      </c>
      <c r="H807" s="13"/>
      <c r="I807" s="12"/>
    </row>
    <row r="808" customFormat="false" ht="15" hidden="false" customHeight="false" outlineLevel="0" collapsed="false">
      <c r="A808" s="11"/>
      <c r="B808" s="12"/>
      <c r="C808" s="12"/>
      <c r="D808" s="13"/>
      <c r="E808" s="13"/>
      <c r="F808" s="13"/>
      <c r="G808" s="10" t="str">
        <f aca="false">IF(AND(E808&lt;&gt;"",F808&lt;&gt;""),E808*F808,"")</f>
        <v/>
      </c>
      <c r="H808" s="13"/>
      <c r="I808" s="12"/>
    </row>
    <row r="809" customFormat="false" ht="15" hidden="false" customHeight="false" outlineLevel="0" collapsed="false">
      <c r="A809" s="11"/>
      <c r="B809" s="12"/>
      <c r="C809" s="12"/>
      <c r="D809" s="13"/>
      <c r="E809" s="13"/>
      <c r="F809" s="13"/>
      <c r="G809" s="10" t="str">
        <f aca="false">IF(AND(E809&lt;&gt;"",F809&lt;&gt;""),E809*F809,"")</f>
        <v/>
      </c>
      <c r="H809" s="13"/>
      <c r="I809" s="12"/>
    </row>
    <row r="810" customFormat="false" ht="15" hidden="false" customHeight="false" outlineLevel="0" collapsed="false">
      <c r="A810" s="11"/>
      <c r="B810" s="12"/>
      <c r="C810" s="12"/>
      <c r="D810" s="13"/>
      <c r="E810" s="13"/>
      <c r="F810" s="13"/>
      <c r="G810" s="10" t="str">
        <f aca="false">IF(AND(E810&lt;&gt;"",F810&lt;&gt;""),E810*F810,"")</f>
        <v/>
      </c>
      <c r="H810" s="13"/>
      <c r="I810" s="12"/>
    </row>
    <row r="811" customFormat="false" ht="15" hidden="false" customHeight="false" outlineLevel="0" collapsed="false">
      <c r="A811" s="11"/>
      <c r="B811" s="12"/>
      <c r="C811" s="12"/>
      <c r="D811" s="13"/>
      <c r="E811" s="13"/>
      <c r="F811" s="13"/>
      <c r="G811" s="10" t="str">
        <f aca="false">IF(AND(E811&lt;&gt;"",F811&lt;&gt;""),E811*F811,"")</f>
        <v/>
      </c>
      <c r="H811" s="13"/>
      <c r="I811" s="12"/>
    </row>
    <row r="812" customFormat="false" ht="15" hidden="false" customHeight="false" outlineLevel="0" collapsed="false">
      <c r="A812" s="11"/>
      <c r="B812" s="12"/>
      <c r="C812" s="12"/>
      <c r="D812" s="13"/>
      <c r="E812" s="13"/>
      <c r="F812" s="13"/>
      <c r="G812" s="10" t="str">
        <f aca="false">IF(AND(E812&lt;&gt;"",F812&lt;&gt;""),E812*F812,"")</f>
        <v/>
      </c>
      <c r="H812" s="13"/>
      <c r="I812" s="12"/>
    </row>
    <row r="813" customFormat="false" ht="15" hidden="false" customHeight="false" outlineLevel="0" collapsed="false">
      <c r="A813" s="11"/>
      <c r="B813" s="12"/>
      <c r="C813" s="12"/>
      <c r="D813" s="13"/>
      <c r="E813" s="13"/>
      <c r="F813" s="13"/>
      <c r="G813" s="10" t="str">
        <f aca="false">IF(AND(E813&lt;&gt;"",F813&lt;&gt;""),E813*F813,"")</f>
        <v/>
      </c>
      <c r="H813" s="13"/>
      <c r="I813" s="12"/>
    </row>
    <row r="814" customFormat="false" ht="15" hidden="false" customHeight="false" outlineLevel="0" collapsed="false">
      <c r="A814" s="11"/>
      <c r="B814" s="12"/>
      <c r="C814" s="12"/>
      <c r="D814" s="13"/>
      <c r="E814" s="13"/>
      <c r="F814" s="13"/>
      <c r="G814" s="10" t="str">
        <f aca="false">IF(AND(E814&lt;&gt;"",F814&lt;&gt;""),E814*F814,"")</f>
        <v/>
      </c>
      <c r="H814" s="13"/>
      <c r="I814" s="12"/>
    </row>
    <row r="815" customFormat="false" ht="15" hidden="false" customHeight="false" outlineLevel="0" collapsed="false">
      <c r="A815" s="11"/>
      <c r="B815" s="12"/>
      <c r="C815" s="12"/>
      <c r="D815" s="13"/>
      <c r="E815" s="13"/>
      <c r="F815" s="13"/>
      <c r="G815" s="10" t="str">
        <f aca="false">IF(AND(E815&lt;&gt;"",F815&lt;&gt;""),E815*F815,"")</f>
        <v/>
      </c>
      <c r="H815" s="13"/>
      <c r="I815" s="12"/>
    </row>
    <row r="816" customFormat="false" ht="15" hidden="false" customHeight="false" outlineLevel="0" collapsed="false">
      <c r="A816" s="11"/>
      <c r="B816" s="12"/>
      <c r="C816" s="12"/>
      <c r="D816" s="13"/>
      <c r="E816" s="13"/>
      <c r="F816" s="13"/>
      <c r="G816" s="10" t="str">
        <f aca="false">IF(AND(E816&lt;&gt;"",F816&lt;&gt;""),E816*F816,"")</f>
        <v/>
      </c>
      <c r="H816" s="13"/>
      <c r="I816" s="12"/>
    </row>
    <row r="817" customFormat="false" ht="15" hidden="false" customHeight="false" outlineLevel="0" collapsed="false">
      <c r="A817" s="11"/>
      <c r="B817" s="12"/>
      <c r="C817" s="12"/>
      <c r="D817" s="13"/>
      <c r="E817" s="13"/>
      <c r="F817" s="13"/>
      <c r="G817" s="10" t="str">
        <f aca="false">IF(AND(E817&lt;&gt;"",F817&lt;&gt;""),E817*F817,"")</f>
        <v/>
      </c>
      <c r="H817" s="13"/>
      <c r="I817" s="12"/>
    </row>
    <row r="818" customFormat="false" ht="15" hidden="false" customHeight="false" outlineLevel="0" collapsed="false">
      <c r="A818" s="11"/>
      <c r="B818" s="12"/>
      <c r="C818" s="12"/>
      <c r="D818" s="13"/>
      <c r="E818" s="13"/>
      <c r="F818" s="13"/>
      <c r="G818" s="10" t="str">
        <f aca="false">IF(AND(E818&lt;&gt;"",F818&lt;&gt;""),E818*F818,"")</f>
        <v/>
      </c>
      <c r="H818" s="13"/>
      <c r="I818" s="12"/>
    </row>
    <row r="819" customFormat="false" ht="15" hidden="false" customHeight="false" outlineLevel="0" collapsed="false">
      <c r="A819" s="11"/>
      <c r="B819" s="12"/>
      <c r="C819" s="12"/>
      <c r="D819" s="13"/>
      <c r="E819" s="13"/>
      <c r="F819" s="13"/>
      <c r="G819" s="10" t="str">
        <f aca="false">IF(AND(E819&lt;&gt;"",F819&lt;&gt;""),E819*F819,"")</f>
        <v/>
      </c>
      <c r="H819" s="13"/>
      <c r="I819" s="12"/>
    </row>
    <row r="820" customFormat="false" ht="15" hidden="false" customHeight="false" outlineLevel="0" collapsed="false">
      <c r="A820" s="11"/>
      <c r="B820" s="12"/>
      <c r="C820" s="12"/>
      <c r="D820" s="13"/>
      <c r="E820" s="13"/>
      <c r="F820" s="13"/>
      <c r="G820" s="10" t="str">
        <f aca="false">IF(AND(E820&lt;&gt;"",F820&lt;&gt;""),E820*F820,"")</f>
        <v/>
      </c>
      <c r="H820" s="13"/>
      <c r="I820" s="12"/>
    </row>
    <row r="821" customFormat="false" ht="15" hidden="false" customHeight="false" outlineLevel="0" collapsed="false">
      <c r="A821" s="11"/>
      <c r="B821" s="12"/>
      <c r="C821" s="12"/>
      <c r="D821" s="13"/>
      <c r="E821" s="13"/>
      <c r="F821" s="13"/>
      <c r="G821" s="10" t="str">
        <f aca="false">IF(AND(E821&lt;&gt;"",F821&lt;&gt;""),E821*F821,"")</f>
        <v/>
      </c>
      <c r="H821" s="13"/>
      <c r="I821" s="12"/>
    </row>
    <row r="822" customFormat="false" ht="15" hidden="false" customHeight="false" outlineLevel="0" collapsed="false">
      <c r="A822" s="11"/>
      <c r="B822" s="12"/>
      <c r="C822" s="12"/>
      <c r="D822" s="13"/>
      <c r="E822" s="13"/>
      <c r="F822" s="13"/>
      <c r="G822" s="10" t="str">
        <f aca="false">IF(AND(E822&lt;&gt;"",F822&lt;&gt;""),E822*F822,"")</f>
        <v/>
      </c>
      <c r="H822" s="13"/>
      <c r="I822" s="12"/>
    </row>
    <row r="823" customFormat="false" ht="15" hidden="false" customHeight="false" outlineLevel="0" collapsed="false">
      <c r="A823" s="11"/>
      <c r="B823" s="12"/>
      <c r="C823" s="12"/>
      <c r="D823" s="13"/>
      <c r="E823" s="13"/>
      <c r="F823" s="13"/>
      <c r="G823" s="10" t="str">
        <f aca="false">IF(AND(E823&lt;&gt;"",F823&lt;&gt;""),E823*F823,"")</f>
        <v/>
      </c>
      <c r="H823" s="13"/>
      <c r="I823" s="12"/>
    </row>
    <row r="824" customFormat="false" ht="15" hidden="false" customHeight="false" outlineLevel="0" collapsed="false">
      <c r="A824" s="11"/>
      <c r="B824" s="12"/>
      <c r="C824" s="12"/>
      <c r="D824" s="13"/>
      <c r="E824" s="13"/>
      <c r="F824" s="13"/>
      <c r="G824" s="10" t="str">
        <f aca="false">IF(AND(E824&lt;&gt;"",F824&lt;&gt;""),E824*F824,"")</f>
        <v/>
      </c>
      <c r="H824" s="13"/>
      <c r="I824" s="12"/>
    </row>
    <row r="825" customFormat="false" ht="15" hidden="false" customHeight="false" outlineLevel="0" collapsed="false">
      <c r="A825" s="11"/>
      <c r="B825" s="12"/>
      <c r="C825" s="12"/>
      <c r="D825" s="13"/>
      <c r="E825" s="13"/>
      <c r="F825" s="13"/>
      <c r="G825" s="10" t="str">
        <f aca="false">IF(AND(E825&lt;&gt;"",F825&lt;&gt;""),E825*F825,"")</f>
        <v/>
      </c>
      <c r="H825" s="13"/>
      <c r="I825" s="12"/>
    </row>
    <row r="826" customFormat="false" ht="15" hidden="false" customHeight="false" outlineLevel="0" collapsed="false">
      <c r="A826" s="11"/>
      <c r="B826" s="12"/>
      <c r="C826" s="12"/>
      <c r="D826" s="13"/>
      <c r="E826" s="13"/>
      <c r="F826" s="13"/>
      <c r="G826" s="10" t="str">
        <f aca="false">IF(AND(E826&lt;&gt;"",F826&lt;&gt;""),E826*F826,"")</f>
        <v/>
      </c>
      <c r="H826" s="13"/>
      <c r="I826" s="12"/>
    </row>
    <row r="827" customFormat="false" ht="15" hidden="false" customHeight="false" outlineLevel="0" collapsed="false">
      <c r="A827" s="11"/>
      <c r="B827" s="12"/>
      <c r="C827" s="12"/>
      <c r="D827" s="13"/>
      <c r="E827" s="13"/>
      <c r="F827" s="13"/>
      <c r="G827" s="10" t="str">
        <f aca="false">IF(AND(E827&lt;&gt;"",F827&lt;&gt;""),E827*F827,"")</f>
        <v/>
      </c>
      <c r="H827" s="13"/>
      <c r="I827" s="12"/>
    </row>
    <row r="828" customFormat="false" ht="15" hidden="false" customHeight="false" outlineLevel="0" collapsed="false">
      <c r="A828" s="11"/>
      <c r="B828" s="12"/>
      <c r="C828" s="12"/>
      <c r="D828" s="13"/>
      <c r="E828" s="13"/>
      <c r="F828" s="13"/>
      <c r="G828" s="10" t="str">
        <f aca="false">IF(AND(E828&lt;&gt;"",F828&lt;&gt;""),E828*F828,"")</f>
        <v/>
      </c>
      <c r="H828" s="13"/>
      <c r="I828" s="12"/>
    </row>
    <row r="829" customFormat="false" ht="15" hidden="false" customHeight="false" outlineLevel="0" collapsed="false">
      <c r="A829" s="11"/>
      <c r="B829" s="12"/>
      <c r="C829" s="12"/>
      <c r="D829" s="13"/>
      <c r="E829" s="13"/>
      <c r="F829" s="13"/>
      <c r="G829" s="10" t="str">
        <f aca="false">IF(AND(E829&lt;&gt;"",F829&lt;&gt;""),E829*F829,"")</f>
        <v/>
      </c>
      <c r="H829" s="13"/>
      <c r="I829" s="12"/>
    </row>
    <row r="830" customFormat="false" ht="15" hidden="false" customHeight="false" outlineLevel="0" collapsed="false">
      <c r="A830" s="11"/>
      <c r="B830" s="12"/>
      <c r="C830" s="12"/>
      <c r="D830" s="13"/>
      <c r="E830" s="13"/>
      <c r="F830" s="13"/>
      <c r="G830" s="10" t="str">
        <f aca="false">IF(AND(E830&lt;&gt;"",F830&lt;&gt;""),E830*F830,"")</f>
        <v/>
      </c>
      <c r="H830" s="13"/>
      <c r="I830" s="12"/>
    </row>
    <row r="831" customFormat="false" ht="15" hidden="false" customHeight="false" outlineLevel="0" collapsed="false">
      <c r="A831" s="11"/>
      <c r="B831" s="12"/>
      <c r="C831" s="12"/>
      <c r="D831" s="13"/>
      <c r="E831" s="13"/>
      <c r="F831" s="13"/>
      <c r="G831" s="10" t="str">
        <f aca="false">IF(AND(E831&lt;&gt;"",F831&lt;&gt;""),E831*F831,"")</f>
        <v/>
      </c>
      <c r="H831" s="13"/>
      <c r="I831" s="12"/>
    </row>
    <row r="832" customFormat="false" ht="15" hidden="false" customHeight="false" outlineLevel="0" collapsed="false">
      <c r="A832" s="11"/>
      <c r="B832" s="12"/>
      <c r="C832" s="12"/>
      <c r="D832" s="13"/>
      <c r="E832" s="13"/>
      <c r="F832" s="13"/>
      <c r="G832" s="10" t="str">
        <f aca="false">IF(AND(E832&lt;&gt;"",F832&lt;&gt;""),E832*F832,"")</f>
        <v/>
      </c>
      <c r="H832" s="13"/>
      <c r="I832" s="12"/>
    </row>
    <row r="833" customFormat="false" ht="15" hidden="false" customHeight="false" outlineLevel="0" collapsed="false">
      <c r="A833" s="11"/>
      <c r="B833" s="12"/>
      <c r="C833" s="12"/>
      <c r="D833" s="13"/>
      <c r="E833" s="13"/>
      <c r="F833" s="13"/>
      <c r="G833" s="10" t="str">
        <f aca="false">IF(AND(E833&lt;&gt;"",F833&lt;&gt;""),E833*F833,"")</f>
        <v/>
      </c>
      <c r="H833" s="13"/>
      <c r="I833" s="12"/>
    </row>
    <row r="834" customFormat="false" ht="15" hidden="false" customHeight="false" outlineLevel="0" collapsed="false">
      <c r="A834" s="11"/>
      <c r="B834" s="12"/>
      <c r="C834" s="12"/>
      <c r="D834" s="13"/>
      <c r="E834" s="13"/>
      <c r="F834" s="13"/>
      <c r="G834" s="10" t="str">
        <f aca="false">IF(AND(E834&lt;&gt;"",F834&lt;&gt;""),E834*F834,"")</f>
        <v/>
      </c>
      <c r="H834" s="13"/>
      <c r="I834" s="12"/>
    </row>
    <row r="835" customFormat="false" ht="15" hidden="false" customHeight="false" outlineLevel="0" collapsed="false">
      <c r="A835" s="11"/>
      <c r="B835" s="12"/>
      <c r="C835" s="12"/>
      <c r="D835" s="13"/>
      <c r="E835" s="13"/>
      <c r="F835" s="13"/>
      <c r="G835" s="10" t="str">
        <f aca="false">IF(AND(E835&lt;&gt;"",F835&lt;&gt;""),E835*F835,"")</f>
        <v/>
      </c>
      <c r="H835" s="13"/>
      <c r="I835" s="12"/>
    </row>
    <row r="836" customFormat="false" ht="15" hidden="false" customHeight="false" outlineLevel="0" collapsed="false">
      <c r="A836" s="11"/>
      <c r="B836" s="12"/>
      <c r="C836" s="12"/>
      <c r="D836" s="13"/>
      <c r="E836" s="13"/>
      <c r="F836" s="13"/>
      <c r="G836" s="10" t="str">
        <f aca="false">IF(AND(E836&lt;&gt;"",F836&lt;&gt;""),E836*F836,"")</f>
        <v/>
      </c>
      <c r="H836" s="13"/>
      <c r="I836" s="12"/>
    </row>
    <row r="837" customFormat="false" ht="15" hidden="false" customHeight="false" outlineLevel="0" collapsed="false">
      <c r="A837" s="11"/>
      <c r="B837" s="12"/>
      <c r="C837" s="12"/>
      <c r="D837" s="13"/>
      <c r="E837" s="13"/>
      <c r="F837" s="13"/>
      <c r="G837" s="10" t="str">
        <f aca="false">IF(AND(E837&lt;&gt;"",F837&lt;&gt;""),E837*F837,"")</f>
        <v/>
      </c>
      <c r="H837" s="13"/>
      <c r="I837" s="12"/>
    </row>
    <row r="838" customFormat="false" ht="15" hidden="false" customHeight="false" outlineLevel="0" collapsed="false">
      <c r="A838" s="11"/>
      <c r="B838" s="12"/>
      <c r="C838" s="12"/>
      <c r="D838" s="13"/>
      <c r="E838" s="13"/>
      <c r="F838" s="13"/>
      <c r="G838" s="10" t="str">
        <f aca="false">IF(AND(E838&lt;&gt;"",F838&lt;&gt;""),E838*F838,"")</f>
        <v/>
      </c>
      <c r="H838" s="13"/>
      <c r="I838" s="12"/>
    </row>
    <row r="839" customFormat="false" ht="15" hidden="false" customHeight="false" outlineLevel="0" collapsed="false">
      <c r="A839" s="11"/>
      <c r="B839" s="12"/>
      <c r="C839" s="12"/>
      <c r="D839" s="13"/>
      <c r="E839" s="13"/>
      <c r="F839" s="13"/>
      <c r="G839" s="10" t="str">
        <f aca="false">IF(AND(E839&lt;&gt;"",F839&lt;&gt;""),E839*F839,"")</f>
        <v/>
      </c>
      <c r="H839" s="13"/>
      <c r="I839" s="12"/>
    </row>
    <row r="840" customFormat="false" ht="15" hidden="false" customHeight="false" outlineLevel="0" collapsed="false">
      <c r="A840" s="11"/>
      <c r="B840" s="12"/>
      <c r="C840" s="12"/>
      <c r="D840" s="13"/>
      <c r="E840" s="13"/>
      <c r="F840" s="13"/>
      <c r="G840" s="10" t="str">
        <f aca="false">IF(AND(E840&lt;&gt;"",F840&lt;&gt;""),E840*F840,"")</f>
        <v/>
      </c>
      <c r="H840" s="13"/>
      <c r="I840" s="12"/>
    </row>
    <row r="841" customFormat="false" ht="15" hidden="false" customHeight="false" outlineLevel="0" collapsed="false">
      <c r="A841" s="11"/>
      <c r="B841" s="12"/>
      <c r="C841" s="12"/>
      <c r="D841" s="13"/>
      <c r="E841" s="13"/>
      <c r="F841" s="13"/>
      <c r="G841" s="10" t="str">
        <f aca="false">IF(AND(E841&lt;&gt;"",F841&lt;&gt;""),E841*F841,"")</f>
        <v/>
      </c>
      <c r="H841" s="13"/>
      <c r="I841" s="12"/>
    </row>
    <row r="842" customFormat="false" ht="15" hidden="false" customHeight="false" outlineLevel="0" collapsed="false">
      <c r="A842" s="11"/>
      <c r="B842" s="12"/>
      <c r="C842" s="12"/>
      <c r="D842" s="13"/>
      <c r="E842" s="13"/>
      <c r="F842" s="13"/>
      <c r="G842" s="10" t="str">
        <f aca="false">IF(AND(E842&lt;&gt;"",F842&lt;&gt;""),E842*F842,"")</f>
        <v/>
      </c>
      <c r="H842" s="13"/>
      <c r="I842" s="12"/>
    </row>
    <row r="843" customFormat="false" ht="15" hidden="false" customHeight="false" outlineLevel="0" collapsed="false">
      <c r="A843" s="11"/>
      <c r="B843" s="12"/>
      <c r="C843" s="12"/>
      <c r="D843" s="13"/>
      <c r="E843" s="13"/>
      <c r="F843" s="13"/>
      <c r="G843" s="10" t="str">
        <f aca="false">IF(AND(E843&lt;&gt;"",F843&lt;&gt;""),E843*F843,"")</f>
        <v/>
      </c>
      <c r="H843" s="13"/>
      <c r="I843" s="12"/>
    </row>
    <row r="844" customFormat="false" ht="15" hidden="false" customHeight="false" outlineLevel="0" collapsed="false">
      <c r="A844" s="11"/>
      <c r="B844" s="12"/>
      <c r="C844" s="12"/>
      <c r="D844" s="13"/>
      <c r="E844" s="13"/>
      <c r="F844" s="13"/>
      <c r="G844" s="10" t="str">
        <f aca="false">IF(AND(E844&lt;&gt;"",F844&lt;&gt;""),E844*F844,"")</f>
        <v/>
      </c>
      <c r="H844" s="13"/>
      <c r="I844" s="12"/>
    </row>
    <row r="845" customFormat="false" ht="15" hidden="false" customHeight="false" outlineLevel="0" collapsed="false">
      <c r="A845" s="11"/>
      <c r="B845" s="12"/>
      <c r="C845" s="12"/>
      <c r="D845" s="13"/>
      <c r="E845" s="13"/>
      <c r="F845" s="13"/>
      <c r="G845" s="10" t="str">
        <f aca="false">IF(AND(E845&lt;&gt;"",F845&lt;&gt;""),E845*F845,"")</f>
        <v/>
      </c>
      <c r="H845" s="13"/>
      <c r="I845" s="12"/>
    </row>
    <row r="846" customFormat="false" ht="15" hidden="false" customHeight="false" outlineLevel="0" collapsed="false">
      <c r="A846" s="11"/>
      <c r="B846" s="12"/>
      <c r="C846" s="12"/>
      <c r="D846" s="13"/>
      <c r="E846" s="13"/>
      <c r="F846" s="13"/>
      <c r="G846" s="10" t="str">
        <f aca="false">IF(AND(E846&lt;&gt;"",F846&lt;&gt;""),E846*F846,"")</f>
        <v/>
      </c>
      <c r="H846" s="13"/>
      <c r="I846" s="12"/>
    </row>
    <row r="847" customFormat="false" ht="15" hidden="false" customHeight="false" outlineLevel="0" collapsed="false">
      <c r="A847" s="11"/>
      <c r="B847" s="12"/>
      <c r="C847" s="12"/>
      <c r="D847" s="13"/>
      <c r="E847" s="13"/>
      <c r="F847" s="13"/>
      <c r="G847" s="10" t="str">
        <f aca="false">IF(AND(E847&lt;&gt;"",F847&lt;&gt;""),E847*F847,"")</f>
        <v/>
      </c>
      <c r="H847" s="13"/>
      <c r="I847" s="12"/>
    </row>
    <row r="848" customFormat="false" ht="15" hidden="false" customHeight="false" outlineLevel="0" collapsed="false">
      <c r="A848" s="11"/>
      <c r="B848" s="12"/>
      <c r="C848" s="12"/>
      <c r="D848" s="13"/>
      <c r="E848" s="13"/>
      <c r="F848" s="13"/>
      <c r="G848" s="10" t="str">
        <f aca="false">IF(AND(E848&lt;&gt;"",F848&lt;&gt;""),E848*F848,"")</f>
        <v/>
      </c>
      <c r="H848" s="13"/>
      <c r="I848" s="12"/>
    </row>
    <row r="849" customFormat="false" ht="15" hidden="false" customHeight="false" outlineLevel="0" collapsed="false">
      <c r="A849" s="11"/>
      <c r="B849" s="12"/>
      <c r="C849" s="12"/>
      <c r="D849" s="13"/>
      <c r="E849" s="13"/>
      <c r="F849" s="13"/>
      <c r="G849" s="10" t="str">
        <f aca="false">IF(AND(E849&lt;&gt;"",F849&lt;&gt;""),E849*F849,"")</f>
        <v/>
      </c>
      <c r="H849" s="13"/>
      <c r="I849" s="12"/>
    </row>
    <row r="850" customFormat="false" ht="15" hidden="false" customHeight="false" outlineLevel="0" collapsed="false">
      <c r="A850" s="11"/>
      <c r="B850" s="12"/>
      <c r="C850" s="12"/>
      <c r="D850" s="13"/>
      <c r="E850" s="13"/>
      <c r="F850" s="13"/>
      <c r="G850" s="10" t="str">
        <f aca="false">IF(AND(E850&lt;&gt;"",F850&lt;&gt;""),E850*F850,"")</f>
        <v/>
      </c>
      <c r="H850" s="13"/>
      <c r="I850" s="12"/>
    </row>
    <row r="851" customFormat="false" ht="15" hidden="false" customHeight="false" outlineLevel="0" collapsed="false">
      <c r="A851" s="11"/>
      <c r="B851" s="12"/>
      <c r="C851" s="12"/>
      <c r="D851" s="13"/>
      <c r="E851" s="13"/>
      <c r="F851" s="13"/>
      <c r="G851" s="10" t="str">
        <f aca="false">IF(AND(E851&lt;&gt;"",F851&lt;&gt;""),E851*F851,"")</f>
        <v/>
      </c>
      <c r="H851" s="13"/>
      <c r="I851" s="12"/>
    </row>
    <row r="852" customFormat="false" ht="15" hidden="false" customHeight="false" outlineLevel="0" collapsed="false">
      <c r="A852" s="11"/>
      <c r="B852" s="12"/>
      <c r="C852" s="12"/>
      <c r="D852" s="13"/>
      <c r="E852" s="13"/>
      <c r="F852" s="13"/>
      <c r="G852" s="10" t="str">
        <f aca="false">IF(AND(E852&lt;&gt;"",F852&lt;&gt;""),E852*F852,"")</f>
        <v/>
      </c>
      <c r="H852" s="13"/>
      <c r="I852" s="12"/>
    </row>
    <row r="853" customFormat="false" ht="15" hidden="false" customHeight="false" outlineLevel="0" collapsed="false">
      <c r="A853" s="11"/>
      <c r="B853" s="12"/>
      <c r="C853" s="12"/>
      <c r="D853" s="13"/>
      <c r="E853" s="13"/>
      <c r="F853" s="13"/>
      <c r="G853" s="10" t="str">
        <f aca="false">IF(AND(E853&lt;&gt;"",F853&lt;&gt;""),E853*F853,"")</f>
        <v/>
      </c>
      <c r="H853" s="13"/>
      <c r="I853" s="12"/>
    </row>
    <row r="854" customFormat="false" ht="15" hidden="false" customHeight="false" outlineLevel="0" collapsed="false">
      <c r="A854" s="11"/>
      <c r="B854" s="12"/>
      <c r="C854" s="12"/>
      <c r="D854" s="13"/>
      <c r="E854" s="13"/>
      <c r="F854" s="13"/>
      <c r="G854" s="10" t="str">
        <f aca="false">IF(AND(E854&lt;&gt;"",F854&lt;&gt;""),E854*F854,"")</f>
        <v/>
      </c>
      <c r="H854" s="13"/>
      <c r="I854" s="12"/>
    </row>
    <row r="855" customFormat="false" ht="15" hidden="false" customHeight="false" outlineLevel="0" collapsed="false">
      <c r="A855" s="11"/>
      <c r="B855" s="12"/>
      <c r="C855" s="12"/>
      <c r="D855" s="13"/>
      <c r="E855" s="13"/>
      <c r="F855" s="13"/>
      <c r="G855" s="10" t="str">
        <f aca="false">IF(AND(E855&lt;&gt;"",F855&lt;&gt;""),E855*F855,"")</f>
        <v/>
      </c>
      <c r="H855" s="13"/>
      <c r="I855" s="12"/>
    </row>
    <row r="856" customFormat="false" ht="15" hidden="false" customHeight="false" outlineLevel="0" collapsed="false">
      <c r="A856" s="11"/>
      <c r="B856" s="12"/>
      <c r="C856" s="12"/>
      <c r="D856" s="13"/>
      <c r="E856" s="13"/>
      <c r="F856" s="13"/>
      <c r="G856" s="10" t="str">
        <f aca="false">IF(AND(E856&lt;&gt;"",F856&lt;&gt;""),E856*F856,"")</f>
        <v/>
      </c>
      <c r="H856" s="13"/>
      <c r="I856" s="12"/>
    </row>
    <row r="857" customFormat="false" ht="15" hidden="false" customHeight="false" outlineLevel="0" collapsed="false">
      <c r="A857" s="11"/>
      <c r="B857" s="12"/>
      <c r="C857" s="12"/>
      <c r="D857" s="13"/>
      <c r="E857" s="13"/>
      <c r="F857" s="13"/>
      <c r="G857" s="10" t="str">
        <f aca="false">IF(AND(E857&lt;&gt;"",F857&lt;&gt;""),E857*F857,"")</f>
        <v/>
      </c>
      <c r="H857" s="13"/>
      <c r="I857" s="12"/>
    </row>
    <row r="858" customFormat="false" ht="15" hidden="false" customHeight="false" outlineLevel="0" collapsed="false">
      <c r="A858" s="11"/>
      <c r="B858" s="12"/>
      <c r="C858" s="12"/>
      <c r="D858" s="13"/>
      <c r="E858" s="13"/>
      <c r="F858" s="13"/>
      <c r="G858" s="10" t="str">
        <f aca="false">IF(AND(E858&lt;&gt;"",F858&lt;&gt;""),E858*F858,"")</f>
        <v/>
      </c>
      <c r="H858" s="13"/>
      <c r="I858" s="12"/>
    </row>
    <row r="859" customFormat="false" ht="15" hidden="false" customHeight="false" outlineLevel="0" collapsed="false">
      <c r="A859" s="11"/>
      <c r="B859" s="12"/>
      <c r="C859" s="12"/>
      <c r="D859" s="13"/>
      <c r="E859" s="13"/>
      <c r="F859" s="13"/>
      <c r="G859" s="10" t="str">
        <f aca="false">IF(AND(E859&lt;&gt;"",F859&lt;&gt;""),E859*F859,"")</f>
        <v/>
      </c>
      <c r="H859" s="13"/>
      <c r="I859" s="12"/>
    </row>
    <row r="860" customFormat="false" ht="15" hidden="false" customHeight="false" outlineLevel="0" collapsed="false">
      <c r="A860" s="11"/>
      <c r="B860" s="12"/>
      <c r="C860" s="12"/>
      <c r="D860" s="13"/>
      <c r="E860" s="13"/>
      <c r="F860" s="13"/>
      <c r="G860" s="10" t="str">
        <f aca="false">IF(AND(E860&lt;&gt;"",F860&lt;&gt;""),E860*F860,"")</f>
        <v/>
      </c>
      <c r="H860" s="13"/>
      <c r="I860" s="12"/>
    </row>
    <row r="861" customFormat="false" ht="15" hidden="false" customHeight="false" outlineLevel="0" collapsed="false">
      <c r="A861" s="11"/>
      <c r="B861" s="12"/>
      <c r="C861" s="12"/>
      <c r="D861" s="13"/>
      <c r="E861" s="13"/>
      <c r="F861" s="13"/>
      <c r="G861" s="10" t="str">
        <f aca="false">IF(AND(E861&lt;&gt;"",F861&lt;&gt;""),E861*F861,"")</f>
        <v/>
      </c>
      <c r="H861" s="13"/>
      <c r="I861" s="12"/>
    </row>
    <row r="862" customFormat="false" ht="15" hidden="false" customHeight="false" outlineLevel="0" collapsed="false">
      <c r="A862" s="11"/>
      <c r="B862" s="12"/>
      <c r="C862" s="12"/>
      <c r="D862" s="13"/>
      <c r="E862" s="13"/>
      <c r="F862" s="13"/>
      <c r="G862" s="10" t="str">
        <f aca="false">IF(AND(E862&lt;&gt;"",F862&lt;&gt;""),E862*F862,"")</f>
        <v/>
      </c>
      <c r="H862" s="13"/>
      <c r="I862" s="12"/>
    </row>
    <row r="863" customFormat="false" ht="15" hidden="false" customHeight="false" outlineLevel="0" collapsed="false">
      <c r="A863" s="11"/>
      <c r="B863" s="12"/>
      <c r="C863" s="12"/>
      <c r="D863" s="13"/>
      <c r="E863" s="13"/>
      <c r="F863" s="13"/>
      <c r="G863" s="10" t="str">
        <f aca="false">IF(AND(E863&lt;&gt;"",F863&lt;&gt;""),E863*F863,"")</f>
        <v/>
      </c>
      <c r="H863" s="13"/>
      <c r="I863" s="12"/>
    </row>
    <row r="864" customFormat="false" ht="15" hidden="false" customHeight="false" outlineLevel="0" collapsed="false">
      <c r="A864" s="11"/>
      <c r="B864" s="12"/>
      <c r="C864" s="12"/>
      <c r="D864" s="13"/>
      <c r="E864" s="13"/>
      <c r="F864" s="13"/>
      <c r="G864" s="10" t="str">
        <f aca="false">IF(AND(E864&lt;&gt;"",F864&lt;&gt;""),E864*F864,"")</f>
        <v/>
      </c>
      <c r="H864" s="13"/>
      <c r="I864" s="12"/>
    </row>
    <row r="865" customFormat="false" ht="15" hidden="false" customHeight="false" outlineLevel="0" collapsed="false">
      <c r="A865" s="11"/>
      <c r="B865" s="12"/>
      <c r="C865" s="12"/>
      <c r="D865" s="13"/>
      <c r="E865" s="13"/>
      <c r="F865" s="13"/>
      <c r="G865" s="10" t="str">
        <f aca="false">IF(AND(E865&lt;&gt;"",F865&lt;&gt;""),E865*F865,"")</f>
        <v/>
      </c>
      <c r="H865" s="13"/>
      <c r="I865" s="12"/>
    </row>
    <row r="866" customFormat="false" ht="15" hidden="false" customHeight="false" outlineLevel="0" collapsed="false">
      <c r="A866" s="11"/>
      <c r="B866" s="12"/>
      <c r="C866" s="12"/>
      <c r="D866" s="13"/>
      <c r="E866" s="13"/>
      <c r="F866" s="13"/>
      <c r="G866" s="10" t="str">
        <f aca="false">IF(AND(E866&lt;&gt;"",F866&lt;&gt;""),E866*F866,"")</f>
        <v/>
      </c>
      <c r="H866" s="13"/>
      <c r="I866" s="12"/>
    </row>
    <row r="867" customFormat="false" ht="15" hidden="false" customHeight="false" outlineLevel="0" collapsed="false">
      <c r="A867" s="11"/>
      <c r="B867" s="12"/>
      <c r="C867" s="12"/>
      <c r="D867" s="13"/>
      <c r="E867" s="13"/>
      <c r="F867" s="13"/>
      <c r="G867" s="10" t="str">
        <f aca="false">IF(AND(E867&lt;&gt;"",F867&lt;&gt;""),E867*F867,"")</f>
        <v/>
      </c>
      <c r="H867" s="13"/>
      <c r="I867" s="12"/>
    </row>
    <row r="868" customFormat="false" ht="15" hidden="false" customHeight="false" outlineLevel="0" collapsed="false">
      <c r="A868" s="11"/>
      <c r="B868" s="12"/>
      <c r="C868" s="12"/>
      <c r="D868" s="13"/>
      <c r="E868" s="13"/>
      <c r="F868" s="13"/>
      <c r="G868" s="10" t="str">
        <f aca="false">IF(AND(E868&lt;&gt;"",F868&lt;&gt;""),E868*F868,"")</f>
        <v/>
      </c>
      <c r="H868" s="13"/>
      <c r="I868" s="12"/>
    </row>
    <row r="869" customFormat="false" ht="15" hidden="false" customHeight="false" outlineLevel="0" collapsed="false">
      <c r="A869" s="11"/>
      <c r="B869" s="12"/>
      <c r="C869" s="12"/>
      <c r="D869" s="13"/>
      <c r="E869" s="13"/>
      <c r="F869" s="13"/>
      <c r="G869" s="10" t="str">
        <f aca="false">IF(AND(E869&lt;&gt;"",F869&lt;&gt;""),E869*F869,"")</f>
        <v/>
      </c>
      <c r="H869" s="13"/>
      <c r="I869" s="12"/>
    </row>
    <row r="870" customFormat="false" ht="15" hidden="false" customHeight="false" outlineLevel="0" collapsed="false">
      <c r="A870" s="11"/>
      <c r="B870" s="12"/>
      <c r="C870" s="12"/>
      <c r="D870" s="13"/>
      <c r="E870" s="13"/>
      <c r="F870" s="13"/>
      <c r="G870" s="10" t="str">
        <f aca="false">IF(AND(E870&lt;&gt;"",F870&lt;&gt;""),E870*F870,"")</f>
        <v/>
      </c>
      <c r="H870" s="13"/>
      <c r="I870" s="12"/>
    </row>
    <row r="871" customFormat="false" ht="15" hidden="false" customHeight="false" outlineLevel="0" collapsed="false">
      <c r="A871" s="11"/>
      <c r="B871" s="12"/>
      <c r="C871" s="12"/>
      <c r="D871" s="13"/>
      <c r="E871" s="13"/>
      <c r="F871" s="13"/>
      <c r="G871" s="10" t="str">
        <f aca="false">IF(AND(E871&lt;&gt;"",F871&lt;&gt;""),E871*F871,"")</f>
        <v/>
      </c>
      <c r="H871" s="13"/>
      <c r="I871" s="12"/>
    </row>
    <row r="872" customFormat="false" ht="15" hidden="false" customHeight="false" outlineLevel="0" collapsed="false">
      <c r="A872" s="11"/>
      <c r="B872" s="12"/>
      <c r="C872" s="12"/>
      <c r="D872" s="13"/>
      <c r="E872" s="13"/>
      <c r="F872" s="13"/>
      <c r="G872" s="10" t="str">
        <f aca="false">IF(AND(E872&lt;&gt;"",F872&lt;&gt;""),E872*F872,"")</f>
        <v/>
      </c>
      <c r="H872" s="13"/>
      <c r="I872" s="12"/>
    </row>
    <row r="873" customFormat="false" ht="15" hidden="false" customHeight="false" outlineLevel="0" collapsed="false">
      <c r="A873" s="11"/>
      <c r="B873" s="12"/>
      <c r="C873" s="12"/>
      <c r="D873" s="13"/>
      <c r="E873" s="13"/>
      <c r="F873" s="13"/>
      <c r="G873" s="10" t="str">
        <f aca="false">IF(AND(E873&lt;&gt;"",F873&lt;&gt;""),E873*F873,"")</f>
        <v/>
      </c>
      <c r="H873" s="13"/>
      <c r="I873" s="12"/>
    </row>
    <row r="874" customFormat="false" ht="15" hidden="false" customHeight="false" outlineLevel="0" collapsed="false">
      <c r="A874" s="11"/>
      <c r="B874" s="12"/>
      <c r="C874" s="12"/>
      <c r="D874" s="13"/>
      <c r="E874" s="13"/>
      <c r="F874" s="13"/>
      <c r="G874" s="10" t="str">
        <f aca="false">IF(AND(E874&lt;&gt;"",F874&lt;&gt;""),E874*F874,"")</f>
        <v/>
      </c>
      <c r="H874" s="13"/>
      <c r="I874" s="12"/>
    </row>
    <row r="875" customFormat="false" ht="15" hidden="false" customHeight="false" outlineLevel="0" collapsed="false">
      <c r="A875" s="11"/>
      <c r="B875" s="12"/>
      <c r="C875" s="12"/>
      <c r="D875" s="13"/>
      <c r="E875" s="13"/>
      <c r="F875" s="13"/>
      <c r="G875" s="10" t="str">
        <f aca="false">IF(AND(E875&lt;&gt;"",F875&lt;&gt;""),E875*F875,"")</f>
        <v/>
      </c>
      <c r="H875" s="13"/>
      <c r="I875" s="12"/>
    </row>
    <row r="876" customFormat="false" ht="15" hidden="false" customHeight="false" outlineLevel="0" collapsed="false">
      <c r="A876" s="11"/>
      <c r="B876" s="12"/>
      <c r="C876" s="12"/>
      <c r="D876" s="13"/>
      <c r="E876" s="13"/>
      <c r="F876" s="13"/>
      <c r="G876" s="10" t="str">
        <f aca="false">IF(AND(E876&lt;&gt;"",F876&lt;&gt;""),E876*F876,"")</f>
        <v/>
      </c>
      <c r="H876" s="13"/>
      <c r="I876" s="12"/>
    </row>
    <row r="877" customFormat="false" ht="15" hidden="false" customHeight="false" outlineLevel="0" collapsed="false">
      <c r="A877" s="11"/>
      <c r="B877" s="12"/>
      <c r="C877" s="12"/>
      <c r="D877" s="13"/>
      <c r="E877" s="13"/>
      <c r="F877" s="13"/>
      <c r="G877" s="10" t="str">
        <f aca="false">IF(AND(E877&lt;&gt;"",F877&lt;&gt;""),E877*F877,"")</f>
        <v/>
      </c>
      <c r="H877" s="13"/>
      <c r="I877" s="12"/>
    </row>
    <row r="878" customFormat="false" ht="15" hidden="false" customHeight="false" outlineLevel="0" collapsed="false">
      <c r="A878" s="11"/>
      <c r="B878" s="12"/>
      <c r="C878" s="12"/>
      <c r="D878" s="13"/>
      <c r="E878" s="13"/>
      <c r="F878" s="13"/>
      <c r="G878" s="10" t="str">
        <f aca="false">IF(AND(E878&lt;&gt;"",F878&lt;&gt;""),E878*F878,"")</f>
        <v/>
      </c>
      <c r="H878" s="13"/>
      <c r="I878" s="12"/>
    </row>
    <row r="879" customFormat="false" ht="15" hidden="false" customHeight="false" outlineLevel="0" collapsed="false">
      <c r="A879" s="11"/>
      <c r="B879" s="12"/>
      <c r="C879" s="12"/>
      <c r="D879" s="13"/>
      <c r="E879" s="13"/>
      <c r="F879" s="13"/>
      <c r="G879" s="10" t="str">
        <f aca="false">IF(AND(E879&lt;&gt;"",F879&lt;&gt;""),E879*F879,"")</f>
        <v/>
      </c>
      <c r="H879" s="13"/>
      <c r="I879" s="12"/>
    </row>
    <row r="880" customFormat="false" ht="15" hidden="false" customHeight="false" outlineLevel="0" collapsed="false">
      <c r="A880" s="11"/>
      <c r="B880" s="12"/>
      <c r="C880" s="12"/>
      <c r="D880" s="13"/>
      <c r="E880" s="13"/>
      <c r="F880" s="13"/>
      <c r="G880" s="10" t="str">
        <f aca="false">IF(AND(E880&lt;&gt;"",F880&lt;&gt;""),E880*F880,"")</f>
        <v/>
      </c>
      <c r="H880" s="13"/>
      <c r="I880" s="12"/>
    </row>
    <row r="881" customFormat="false" ht="15" hidden="false" customHeight="false" outlineLevel="0" collapsed="false">
      <c r="A881" s="11"/>
      <c r="B881" s="12"/>
      <c r="C881" s="12"/>
      <c r="D881" s="13"/>
      <c r="E881" s="13"/>
      <c r="F881" s="13"/>
      <c r="G881" s="10" t="str">
        <f aca="false">IF(AND(E881&lt;&gt;"",F881&lt;&gt;""),E881*F881,"")</f>
        <v/>
      </c>
      <c r="H881" s="13"/>
      <c r="I881" s="12"/>
    </row>
    <row r="882" customFormat="false" ht="15" hidden="false" customHeight="false" outlineLevel="0" collapsed="false">
      <c r="A882" s="11"/>
      <c r="B882" s="12"/>
      <c r="C882" s="12"/>
      <c r="D882" s="13"/>
      <c r="E882" s="13"/>
      <c r="F882" s="13"/>
      <c r="G882" s="10" t="str">
        <f aca="false">IF(AND(E882&lt;&gt;"",F882&lt;&gt;""),E882*F882,"")</f>
        <v/>
      </c>
      <c r="H882" s="13"/>
      <c r="I882" s="12"/>
    </row>
    <row r="883" customFormat="false" ht="15" hidden="false" customHeight="false" outlineLevel="0" collapsed="false">
      <c r="A883" s="11"/>
      <c r="B883" s="12"/>
      <c r="C883" s="12"/>
      <c r="D883" s="13"/>
      <c r="E883" s="13"/>
      <c r="F883" s="13"/>
      <c r="G883" s="10" t="str">
        <f aca="false">IF(AND(E883&lt;&gt;"",F883&lt;&gt;""),E883*F883,"")</f>
        <v/>
      </c>
      <c r="H883" s="13"/>
      <c r="I883" s="12"/>
    </row>
    <row r="884" customFormat="false" ht="15" hidden="false" customHeight="false" outlineLevel="0" collapsed="false">
      <c r="A884" s="11"/>
      <c r="B884" s="12"/>
      <c r="C884" s="12"/>
      <c r="D884" s="13"/>
      <c r="E884" s="13"/>
      <c r="F884" s="13"/>
      <c r="G884" s="10" t="str">
        <f aca="false">IF(AND(E884&lt;&gt;"",F884&lt;&gt;""),E884*F884,"")</f>
        <v/>
      </c>
      <c r="H884" s="13"/>
      <c r="I884" s="12"/>
    </row>
    <row r="885" customFormat="false" ht="15" hidden="false" customHeight="false" outlineLevel="0" collapsed="false">
      <c r="A885" s="11"/>
      <c r="B885" s="12"/>
      <c r="C885" s="12"/>
      <c r="D885" s="13"/>
      <c r="E885" s="13"/>
      <c r="F885" s="13"/>
      <c r="G885" s="10" t="str">
        <f aca="false">IF(AND(E885&lt;&gt;"",F885&lt;&gt;""),E885*F885,"")</f>
        <v/>
      </c>
      <c r="H885" s="13"/>
      <c r="I885" s="12"/>
    </row>
    <row r="886" customFormat="false" ht="15" hidden="false" customHeight="false" outlineLevel="0" collapsed="false">
      <c r="A886" s="11"/>
      <c r="B886" s="12"/>
      <c r="C886" s="12"/>
      <c r="D886" s="13"/>
      <c r="E886" s="13"/>
      <c r="F886" s="13"/>
      <c r="G886" s="10" t="str">
        <f aca="false">IF(AND(E886&lt;&gt;"",F886&lt;&gt;""),E886*F886,"")</f>
        <v/>
      </c>
      <c r="H886" s="13"/>
      <c r="I886" s="12"/>
    </row>
    <row r="887" customFormat="false" ht="15" hidden="false" customHeight="false" outlineLevel="0" collapsed="false">
      <c r="A887" s="11"/>
      <c r="B887" s="12"/>
      <c r="C887" s="12"/>
      <c r="D887" s="13"/>
      <c r="E887" s="13"/>
      <c r="F887" s="13"/>
      <c r="G887" s="10" t="str">
        <f aca="false">IF(AND(E887&lt;&gt;"",F887&lt;&gt;""),E887*F887,"")</f>
        <v/>
      </c>
      <c r="H887" s="13"/>
      <c r="I887" s="12"/>
    </row>
    <row r="888" customFormat="false" ht="15" hidden="false" customHeight="false" outlineLevel="0" collapsed="false">
      <c r="A888" s="11"/>
      <c r="B888" s="12"/>
      <c r="C888" s="12"/>
      <c r="D888" s="13"/>
      <c r="E888" s="13"/>
      <c r="F888" s="13"/>
      <c r="G888" s="10" t="str">
        <f aca="false">IF(AND(E888&lt;&gt;"",F888&lt;&gt;""),E888*F888,"")</f>
        <v/>
      </c>
      <c r="H888" s="13"/>
      <c r="I888" s="12"/>
    </row>
    <row r="889" customFormat="false" ht="15" hidden="false" customHeight="false" outlineLevel="0" collapsed="false">
      <c r="A889" s="11"/>
      <c r="B889" s="12"/>
      <c r="C889" s="12"/>
      <c r="D889" s="13"/>
      <c r="E889" s="13"/>
      <c r="F889" s="13"/>
      <c r="G889" s="10" t="str">
        <f aca="false">IF(AND(E889&lt;&gt;"",F889&lt;&gt;""),E889*F889,"")</f>
        <v/>
      </c>
      <c r="H889" s="13"/>
      <c r="I889" s="12"/>
    </row>
    <row r="890" customFormat="false" ht="15" hidden="false" customHeight="false" outlineLevel="0" collapsed="false">
      <c r="A890" s="11"/>
      <c r="B890" s="12"/>
      <c r="C890" s="12"/>
      <c r="D890" s="13"/>
      <c r="E890" s="13"/>
      <c r="F890" s="13"/>
      <c r="G890" s="10" t="str">
        <f aca="false">IF(AND(E890&lt;&gt;"",F890&lt;&gt;""),E890*F890,"")</f>
        <v/>
      </c>
      <c r="H890" s="13"/>
      <c r="I890" s="12"/>
    </row>
    <row r="891" customFormat="false" ht="15" hidden="false" customHeight="false" outlineLevel="0" collapsed="false">
      <c r="A891" s="11"/>
      <c r="B891" s="12"/>
      <c r="C891" s="12"/>
      <c r="D891" s="13"/>
      <c r="E891" s="13"/>
      <c r="F891" s="13"/>
      <c r="G891" s="10" t="str">
        <f aca="false">IF(AND(E891&lt;&gt;"",F891&lt;&gt;""),E891*F891,"")</f>
        <v/>
      </c>
      <c r="H891" s="13"/>
      <c r="I891" s="12"/>
    </row>
    <row r="892" customFormat="false" ht="15" hidden="false" customHeight="false" outlineLevel="0" collapsed="false">
      <c r="A892" s="11"/>
      <c r="B892" s="12"/>
      <c r="C892" s="12"/>
      <c r="D892" s="13"/>
      <c r="E892" s="13"/>
      <c r="F892" s="13"/>
      <c r="G892" s="10" t="str">
        <f aca="false">IF(AND(E892&lt;&gt;"",F892&lt;&gt;""),E892*F892,"")</f>
        <v/>
      </c>
      <c r="H892" s="13"/>
      <c r="I892" s="12"/>
    </row>
    <row r="893" customFormat="false" ht="15" hidden="false" customHeight="false" outlineLevel="0" collapsed="false">
      <c r="A893" s="11"/>
      <c r="B893" s="12"/>
      <c r="C893" s="12"/>
      <c r="D893" s="13"/>
      <c r="E893" s="13"/>
      <c r="F893" s="13"/>
      <c r="G893" s="10" t="str">
        <f aca="false">IF(AND(E893&lt;&gt;"",F893&lt;&gt;""),E893*F893,"")</f>
        <v/>
      </c>
      <c r="H893" s="13"/>
      <c r="I893" s="12"/>
    </row>
    <row r="894" customFormat="false" ht="15" hidden="false" customHeight="false" outlineLevel="0" collapsed="false">
      <c r="A894" s="11"/>
      <c r="B894" s="12"/>
      <c r="C894" s="12"/>
      <c r="D894" s="13"/>
      <c r="E894" s="13"/>
      <c r="F894" s="13"/>
      <c r="G894" s="10" t="str">
        <f aca="false">IF(AND(E894&lt;&gt;"",F894&lt;&gt;""),E894*F894,"")</f>
        <v/>
      </c>
      <c r="H894" s="13"/>
      <c r="I894" s="12"/>
    </row>
    <row r="895" customFormat="false" ht="15" hidden="false" customHeight="false" outlineLevel="0" collapsed="false">
      <c r="A895" s="11"/>
      <c r="B895" s="12"/>
      <c r="C895" s="12"/>
      <c r="D895" s="13"/>
      <c r="E895" s="13"/>
      <c r="F895" s="13"/>
      <c r="G895" s="10" t="str">
        <f aca="false">IF(AND(E895&lt;&gt;"",F895&lt;&gt;""),E895*F895,"")</f>
        <v/>
      </c>
      <c r="H895" s="13"/>
      <c r="I895" s="12"/>
    </row>
    <row r="896" customFormat="false" ht="15" hidden="false" customHeight="false" outlineLevel="0" collapsed="false">
      <c r="A896" s="11"/>
      <c r="B896" s="12"/>
      <c r="C896" s="12"/>
      <c r="D896" s="13"/>
      <c r="E896" s="13"/>
      <c r="F896" s="13"/>
      <c r="G896" s="10" t="str">
        <f aca="false">IF(AND(E896&lt;&gt;"",F896&lt;&gt;""),E896*F896,"")</f>
        <v/>
      </c>
      <c r="H896" s="13"/>
      <c r="I896" s="12"/>
    </row>
    <row r="897" customFormat="false" ht="15" hidden="false" customHeight="false" outlineLevel="0" collapsed="false">
      <c r="A897" s="11"/>
      <c r="B897" s="12"/>
      <c r="C897" s="12"/>
      <c r="D897" s="13"/>
      <c r="E897" s="13"/>
      <c r="F897" s="13"/>
      <c r="G897" s="10" t="str">
        <f aca="false">IF(AND(E897&lt;&gt;"",F897&lt;&gt;""),E897*F897,"")</f>
        <v/>
      </c>
      <c r="H897" s="13"/>
      <c r="I897" s="12"/>
    </row>
    <row r="898" customFormat="false" ht="15" hidden="false" customHeight="false" outlineLevel="0" collapsed="false">
      <c r="A898" s="11"/>
      <c r="B898" s="12"/>
      <c r="C898" s="12"/>
      <c r="D898" s="13"/>
      <c r="E898" s="13"/>
      <c r="F898" s="13"/>
      <c r="G898" s="10" t="str">
        <f aca="false">IF(AND(E898&lt;&gt;"",F898&lt;&gt;""),E898*F898,"")</f>
        <v/>
      </c>
      <c r="H898" s="13"/>
      <c r="I898" s="12"/>
    </row>
    <row r="899" customFormat="false" ht="15" hidden="false" customHeight="false" outlineLevel="0" collapsed="false">
      <c r="A899" s="11"/>
      <c r="B899" s="12"/>
      <c r="C899" s="12"/>
      <c r="D899" s="13"/>
      <c r="E899" s="13"/>
      <c r="F899" s="13"/>
      <c r="G899" s="10" t="str">
        <f aca="false">IF(AND(E899&lt;&gt;"",F899&lt;&gt;""),E899*F899,"")</f>
        <v/>
      </c>
      <c r="H899" s="13"/>
      <c r="I899" s="12"/>
    </row>
    <row r="900" customFormat="false" ht="15" hidden="false" customHeight="false" outlineLevel="0" collapsed="false">
      <c r="A900" s="11"/>
      <c r="B900" s="12"/>
      <c r="C900" s="12"/>
      <c r="D900" s="13"/>
      <c r="E900" s="13"/>
      <c r="F900" s="13"/>
      <c r="G900" s="10" t="str">
        <f aca="false">IF(AND(E900&lt;&gt;"",F900&lt;&gt;""),E900*F900,"")</f>
        <v/>
      </c>
      <c r="H900" s="13"/>
      <c r="I900" s="12"/>
    </row>
    <row r="901" customFormat="false" ht="15" hidden="false" customHeight="false" outlineLevel="0" collapsed="false">
      <c r="A901" s="11"/>
      <c r="B901" s="12"/>
      <c r="C901" s="12"/>
      <c r="D901" s="13"/>
      <c r="E901" s="13"/>
      <c r="F901" s="13"/>
      <c r="G901" s="10" t="str">
        <f aca="false">IF(AND(E901&lt;&gt;"",F901&lt;&gt;""),E901*F901,"")</f>
        <v/>
      </c>
      <c r="H901" s="13"/>
      <c r="I901" s="12"/>
    </row>
    <row r="902" customFormat="false" ht="15" hidden="false" customHeight="false" outlineLevel="0" collapsed="false">
      <c r="A902" s="11"/>
      <c r="B902" s="12"/>
      <c r="C902" s="12"/>
      <c r="D902" s="13"/>
      <c r="E902" s="13"/>
      <c r="F902" s="13"/>
      <c r="G902" s="10" t="str">
        <f aca="false">IF(AND(E902&lt;&gt;"",F902&lt;&gt;""),E902*F902,"")</f>
        <v/>
      </c>
      <c r="H902" s="13"/>
      <c r="I902" s="12"/>
    </row>
    <row r="903" customFormat="false" ht="15" hidden="false" customHeight="false" outlineLevel="0" collapsed="false">
      <c r="A903" s="11"/>
      <c r="B903" s="12"/>
      <c r="C903" s="12"/>
      <c r="D903" s="13"/>
      <c r="E903" s="13"/>
      <c r="F903" s="13"/>
      <c r="G903" s="10" t="str">
        <f aca="false">IF(AND(E903&lt;&gt;"",F903&lt;&gt;""),E903*F903,"")</f>
        <v/>
      </c>
      <c r="H903" s="13"/>
      <c r="I903" s="12"/>
    </row>
    <row r="904" customFormat="false" ht="15" hidden="false" customHeight="false" outlineLevel="0" collapsed="false">
      <c r="A904" s="11"/>
      <c r="B904" s="12"/>
      <c r="C904" s="12"/>
      <c r="D904" s="13"/>
      <c r="E904" s="13"/>
      <c r="F904" s="13"/>
      <c r="G904" s="10" t="str">
        <f aca="false">IF(AND(E904&lt;&gt;"",F904&lt;&gt;""),E904*F904,"")</f>
        <v/>
      </c>
      <c r="H904" s="13"/>
      <c r="I904" s="12"/>
    </row>
    <row r="905" customFormat="false" ht="15" hidden="false" customHeight="false" outlineLevel="0" collapsed="false">
      <c r="A905" s="11"/>
      <c r="B905" s="12"/>
      <c r="C905" s="12"/>
      <c r="D905" s="13"/>
      <c r="E905" s="13"/>
      <c r="F905" s="13"/>
      <c r="G905" s="10" t="str">
        <f aca="false">IF(AND(E905&lt;&gt;"",F905&lt;&gt;""),E905*F905,"")</f>
        <v/>
      </c>
      <c r="H905" s="13"/>
      <c r="I905" s="12"/>
    </row>
    <row r="906" customFormat="false" ht="15" hidden="false" customHeight="false" outlineLevel="0" collapsed="false">
      <c r="A906" s="11"/>
      <c r="B906" s="12"/>
      <c r="C906" s="12"/>
      <c r="D906" s="13"/>
      <c r="E906" s="13"/>
      <c r="F906" s="13"/>
      <c r="G906" s="10" t="str">
        <f aca="false">IF(AND(E906&lt;&gt;"",F906&lt;&gt;""),E906*F906,"")</f>
        <v/>
      </c>
      <c r="H906" s="13"/>
      <c r="I906" s="12"/>
    </row>
    <row r="907" customFormat="false" ht="15" hidden="false" customHeight="false" outlineLevel="0" collapsed="false">
      <c r="A907" s="11"/>
      <c r="B907" s="12"/>
      <c r="C907" s="12"/>
      <c r="D907" s="13"/>
      <c r="E907" s="13"/>
      <c r="F907" s="13"/>
      <c r="G907" s="10" t="str">
        <f aca="false">IF(AND(E907&lt;&gt;"",F907&lt;&gt;""),E907*F907,"")</f>
        <v/>
      </c>
      <c r="H907" s="13"/>
      <c r="I907" s="12"/>
    </row>
    <row r="908" customFormat="false" ht="15" hidden="false" customHeight="false" outlineLevel="0" collapsed="false">
      <c r="A908" s="11"/>
      <c r="B908" s="12"/>
      <c r="C908" s="12"/>
      <c r="D908" s="13"/>
      <c r="E908" s="13"/>
      <c r="F908" s="13"/>
      <c r="G908" s="10" t="str">
        <f aca="false">IF(AND(E908&lt;&gt;"",F908&lt;&gt;""),E908*F908,"")</f>
        <v/>
      </c>
      <c r="H908" s="13"/>
      <c r="I908" s="12"/>
    </row>
    <row r="909" customFormat="false" ht="15" hidden="false" customHeight="false" outlineLevel="0" collapsed="false">
      <c r="A909" s="11"/>
      <c r="B909" s="12"/>
      <c r="C909" s="12"/>
      <c r="D909" s="13"/>
      <c r="E909" s="13"/>
      <c r="F909" s="13"/>
      <c r="G909" s="10" t="str">
        <f aca="false">IF(AND(E909&lt;&gt;"",F909&lt;&gt;""),E909*F909,"")</f>
        <v/>
      </c>
      <c r="H909" s="13"/>
      <c r="I909" s="12"/>
    </row>
    <row r="910" customFormat="false" ht="15" hidden="false" customHeight="false" outlineLevel="0" collapsed="false">
      <c r="A910" s="11"/>
      <c r="B910" s="12"/>
      <c r="C910" s="12"/>
      <c r="D910" s="13"/>
      <c r="E910" s="13"/>
      <c r="F910" s="13"/>
      <c r="G910" s="10" t="str">
        <f aca="false">IF(AND(E910&lt;&gt;"",F910&lt;&gt;""),E910*F910,"")</f>
        <v/>
      </c>
      <c r="H910" s="13"/>
      <c r="I910" s="12"/>
    </row>
    <row r="911" customFormat="false" ht="15" hidden="false" customHeight="false" outlineLevel="0" collapsed="false">
      <c r="A911" s="11"/>
      <c r="B911" s="12"/>
      <c r="C911" s="12"/>
      <c r="D911" s="13"/>
      <c r="E911" s="13"/>
      <c r="F911" s="13"/>
      <c r="G911" s="10" t="str">
        <f aca="false">IF(AND(E911&lt;&gt;"",F911&lt;&gt;""),E911*F911,"")</f>
        <v/>
      </c>
      <c r="H911" s="13"/>
      <c r="I911" s="12"/>
    </row>
    <row r="912" customFormat="false" ht="15" hidden="false" customHeight="false" outlineLevel="0" collapsed="false">
      <c r="A912" s="11"/>
      <c r="B912" s="12"/>
      <c r="C912" s="12"/>
      <c r="D912" s="13"/>
      <c r="E912" s="13"/>
      <c r="F912" s="13"/>
      <c r="G912" s="10" t="str">
        <f aca="false">IF(AND(E912&lt;&gt;"",F912&lt;&gt;""),E912*F912,"")</f>
        <v/>
      </c>
      <c r="H912" s="13"/>
      <c r="I912" s="12"/>
    </row>
    <row r="913" customFormat="false" ht="15" hidden="false" customHeight="false" outlineLevel="0" collapsed="false">
      <c r="A913" s="11"/>
      <c r="B913" s="12"/>
      <c r="C913" s="12"/>
      <c r="D913" s="13"/>
      <c r="E913" s="13"/>
      <c r="F913" s="13"/>
      <c r="G913" s="10" t="str">
        <f aca="false">IF(AND(E913&lt;&gt;"",F913&lt;&gt;""),E913*F913,"")</f>
        <v/>
      </c>
      <c r="H913" s="13"/>
      <c r="I913" s="12"/>
    </row>
    <row r="914" customFormat="false" ht="15" hidden="false" customHeight="false" outlineLevel="0" collapsed="false">
      <c r="A914" s="11"/>
      <c r="B914" s="12"/>
      <c r="C914" s="12"/>
      <c r="D914" s="13"/>
      <c r="E914" s="13"/>
      <c r="F914" s="13"/>
      <c r="G914" s="10" t="str">
        <f aca="false">IF(AND(E914&lt;&gt;"",F914&lt;&gt;""),E914*F914,"")</f>
        <v/>
      </c>
      <c r="H914" s="13"/>
      <c r="I914" s="12"/>
    </row>
    <row r="915" customFormat="false" ht="15" hidden="false" customHeight="false" outlineLevel="0" collapsed="false">
      <c r="A915" s="11"/>
      <c r="B915" s="12"/>
      <c r="C915" s="12"/>
      <c r="D915" s="13"/>
      <c r="E915" s="13"/>
      <c r="F915" s="13"/>
      <c r="G915" s="10" t="str">
        <f aca="false">IF(AND(E915&lt;&gt;"",F915&lt;&gt;""),E915*F915,"")</f>
        <v/>
      </c>
      <c r="H915" s="13"/>
      <c r="I915" s="12"/>
    </row>
    <row r="916" customFormat="false" ht="15" hidden="false" customHeight="false" outlineLevel="0" collapsed="false">
      <c r="A916" s="11"/>
      <c r="B916" s="12"/>
      <c r="C916" s="12"/>
      <c r="D916" s="13"/>
      <c r="E916" s="13"/>
      <c r="F916" s="13"/>
      <c r="G916" s="10" t="str">
        <f aca="false">IF(AND(E916&lt;&gt;"",F916&lt;&gt;""),E916*F916,"")</f>
        <v/>
      </c>
      <c r="H916" s="13"/>
      <c r="I916" s="12"/>
    </row>
    <row r="917" customFormat="false" ht="15" hidden="false" customHeight="false" outlineLevel="0" collapsed="false">
      <c r="A917" s="11"/>
      <c r="B917" s="12"/>
      <c r="C917" s="12"/>
      <c r="D917" s="13"/>
      <c r="E917" s="13"/>
      <c r="F917" s="13"/>
      <c r="G917" s="10" t="str">
        <f aca="false">IF(AND(E917&lt;&gt;"",F917&lt;&gt;""),E917*F917,"")</f>
        <v/>
      </c>
      <c r="H917" s="13"/>
      <c r="I917" s="12"/>
    </row>
    <row r="918" customFormat="false" ht="15" hidden="false" customHeight="false" outlineLevel="0" collapsed="false">
      <c r="A918" s="11"/>
      <c r="B918" s="12"/>
      <c r="C918" s="12"/>
      <c r="D918" s="13"/>
      <c r="E918" s="13"/>
      <c r="F918" s="13"/>
      <c r="G918" s="10" t="str">
        <f aca="false">IF(AND(E918&lt;&gt;"",F918&lt;&gt;""),E918*F918,"")</f>
        <v/>
      </c>
      <c r="H918" s="13"/>
      <c r="I918" s="12"/>
    </row>
    <row r="919" customFormat="false" ht="15" hidden="false" customHeight="false" outlineLevel="0" collapsed="false">
      <c r="A919" s="11"/>
      <c r="B919" s="12"/>
      <c r="C919" s="12"/>
      <c r="D919" s="13"/>
      <c r="E919" s="13"/>
      <c r="F919" s="13"/>
      <c r="G919" s="10" t="str">
        <f aca="false">IF(AND(E919&lt;&gt;"",F919&lt;&gt;""),E919*F919,"")</f>
        <v/>
      </c>
      <c r="H919" s="13"/>
      <c r="I919" s="12"/>
    </row>
    <row r="920" customFormat="false" ht="15" hidden="false" customHeight="false" outlineLevel="0" collapsed="false">
      <c r="A920" s="11"/>
      <c r="B920" s="12"/>
      <c r="C920" s="12"/>
      <c r="D920" s="13"/>
      <c r="E920" s="13"/>
      <c r="F920" s="13"/>
      <c r="G920" s="10" t="str">
        <f aca="false">IF(AND(E920&lt;&gt;"",F920&lt;&gt;""),E920*F920,"")</f>
        <v/>
      </c>
      <c r="H920" s="13"/>
      <c r="I920" s="12"/>
    </row>
    <row r="921" customFormat="false" ht="15" hidden="false" customHeight="false" outlineLevel="0" collapsed="false">
      <c r="A921" s="11"/>
      <c r="B921" s="12"/>
      <c r="C921" s="12"/>
      <c r="D921" s="13"/>
      <c r="E921" s="13"/>
      <c r="F921" s="13"/>
      <c r="G921" s="10" t="str">
        <f aca="false">IF(AND(E921&lt;&gt;"",F921&lt;&gt;""),E921*F921,"")</f>
        <v/>
      </c>
      <c r="H921" s="13"/>
      <c r="I921" s="12"/>
    </row>
    <row r="922" customFormat="false" ht="15" hidden="false" customHeight="false" outlineLevel="0" collapsed="false">
      <c r="A922" s="11"/>
      <c r="B922" s="12"/>
      <c r="C922" s="12"/>
      <c r="D922" s="13"/>
      <c r="E922" s="13"/>
      <c r="F922" s="13"/>
      <c r="G922" s="10" t="str">
        <f aca="false">IF(AND(E922&lt;&gt;"",F922&lt;&gt;""),E922*F922,"")</f>
        <v/>
      </c>
      <c r="H922" s="13"/>
      <c r="I922" s="12"/>
    </row>
    <row r="923" customFormat="false" ht="15" hidden="false" customHeight="false" outlineLevel="0" collapsed="false">
      <c r="A923" s="11"/>
      <c r="B923" s="12"/>
      <c r="C923" s="12"/>
      <c r="D923" s="13"/>
      <c r="E923" s="13"/>
      <c r="F923" s="13"/>
      <c r="G923" s="10" t="str">
        <f aca="false">IF(AND(E923&lt;&gt;"",F923&lt;&gt;""),E923*F923,"")</f>
        <v/>
      </c>
      <c r="H923" s="13"/>
      <c r="I923" s="12"/>
    </row>
    <row r="924" customFormat="false" ht="15" hidden="false" customHeight="false" outlineLevel="0" collapsed="false">
      <c r="A924" s="11"/>
      <c r="B924" s="12"/>
      <c r="C924" s="12"/>
      <c r="D924" s="13"/>
      <c r="E924" s="13"/>
      <c r="F924" s="13"/>
      <c r="G924" s="10" t="str">
        <f aca="false">IF(AND(E924&lt;&gt;"",F924&lt;&gt;""),E924*F924,"")</f>
        <v/>
      </c>
      <c r="H924" s="13"/>
      <c r="I924" s="12"/>
    </row>
    <row r="925" customFormat="false" ht="15" hidden="false" customHeight="false" outlineLevel="0" collapsed="false">
      <c r="A925" s="11"/>
      <c r="B925" s="12"/>
      <c r="C925" s="12"/>
      <c r="D925" s="13"/>
      <c r="E925" s="13"/>
      <c r="F925" s="13"/>
      <c r="G925" s="10" t="str">
        <f aca="false">IF(AND(E925&lt;&gt;"",F925&lt;&gt;""),E925*F925,"")</f>
        <v/>
      </c>
      <c r="H925" s="13"/>
      <c r="I925" s="12"/>
    </row>
    <row r="926" customFormat="false" ht="15" hidden="false" customHeight="false" outlineLevel="0" collapsed="false">
      <c r="A926" s="11"/>
      <c r="B926" s="12"/>
      <c r="C926" s="12"/>
      <c r="D926" s="13"/>
      <c r="E926" s="13"/>
      <c r="F926" s="13"/>
      <c r="G926" s="10" t="str">
        <f aca="false">IF(AND(E926&lt;&gt;"",F926&lt;&gt;""),E926*F926,"")</f>
        <v/>
      </c>
      <c r="H926" s="13"/>
      <c r="I926" s="12"/>
    </row>
    <row r="927" customFormat="false" ht="15" hidden="false" customHeight="false" outlineLevel="0" collapsed="false">
      <c r="A927" s="11"/>
      <c r="B927" s="12"/>
      <c r="C927" s="12"/>
      <c r="D927" s="13"/>
      <c r="E927" s="13"/>
      <c r="F927" s="13"/>
      <c r="G927" s="10" t="str">
        <f aca="false">IF(AND(E927&lt;&gt;"",F927&lt;&gt;""),E927*F927,"")</f>
        <v/>
      </c>
      <c r="H927" s="13"/>
      <c r="I927" s="12"/>
    </row>
    <row r="928" customFormat="false" ht="15" hidden="false" customHeight="false" outlineLevel="0" collapsed="false">
      <c r="A928" s="11"/>
      <c r="B928" s="12"/>
      <c r="C928" s="12"/>
      <c r="D928" s="13"/>
      <c r="E928" s="13"/>
      <c r="F928" s="13"/>
      <c r="G928" s="10" t="str">
        <f aca="false">IF(AND(E928&lt;&gt;"",F928&lt;&gt;""),E928*F928,"")</f>
        <v/>
      </c>
      <c r="H928" s="13"/>
      <c r="I928" s="12"/>
    </row>
    <row r="929" customFormat="false" ht="15" hidden="false" customHeight="false" outlineLevel="0" collapsed="false">
      <c r="A929" s="11"/>
      <c r="B929" s="12"/>
      <c r="C929" s="12"/>
      <c r="D929" s="13"/>
      <c r="E929" s="13"/>
      <c r="F929" s="13"/>
      <c r="G929" s="10" t="str">
        <f aca="false">IF(AND(E929&lt;&gt;"",F929&lt;&gt;""),E929*F929,"")</f>
        <v/>
      </c>
      <c r="H929" s="13"/>
      <c r="I929" s="12"/>
    </row>
    <row r="930" customFormat="false" ht="15" hidden="false" customHeight="false" outlineLevel="0" collapsed="false">
      <c r="A930" s="11"/>
      <c r="B930" s="12"/>
      <c r="C930" s="12"/>
      <c r="D930" s="13"/>
      <c r="E930" s="13"/>
      <c r="F930" s="13"/>
      <c r="G930" s="10" t="str">
        <f aca="false">IF(AND(E930&lt;&gt;"",F930&lt;&gt;""),E930*F930,"")</f>
        <v/>
      </c>
      <c r="H930" s="13"/>
      <c r="I930" s="12"/>
    </row>
    <row r="931" customFormat="false" ht="15" hidden="false" customHeight="false" outlineLevel="0" collapsed="false">
      <c r="A931" s="11"/>
      <c r="B931" s="12"/>
      <c r="C931" s="12"/>
      <c r="D931" s="13"/>
      <c r="E931" s="13"/>
      <c r="F931" s="13"/>
      <c r="G931" s="10" t="str">
        <f aca="false">IF(AND(E931&lt;&gt;"",F931&lt;&gt;""),E931*F931,"")</f>
        <v/>
      </c>
      <c r="H931" s="13"/>
      <c r="I931" s="12"/>
    </row>
    <row r="932" customFormat="false" ht="15" hidden="false" customHeight="false" outlineLevel="0" collapsed="false">
      <c r="A932" s="11"/>
      <c r="B932" s="12"/>
      <c r="C932" s="12"/>
      <c r="D932" s="13"/>
      <c r="E932" s="13"/>
      <c r="F932" s="13"/>
      <c r="G932" s="10" t="str">
        <f aca="false">IF(AND(E932&lt;&gt;"",F932&lt;&gt;""),E932*F932,"")</f>
        <v/>
      </c>
      <c r="H932" s="13"/>
      <c r="I932" s="12"/>
    </row>
    <row r="933" customFormat="false" ht="15" hidden="false" customHeight="false" outlineLevel="0" collapsed="false">
      <c r="A933" s="11"/>
      <c r="B933" s="12"/>
      <c r="C933" s="12"/>
      <c r="D933" s="13"/>
      <c r="E933" s="13"/>
      <c r="F933" s="13"/>
      <c r="G933" s="10" t="str">
        <f aca="false">IF(AND(E933&lt;&gt;"",F933&lt;&gt;""),E933*F933,"")</f>
        <v/>
      </c>
      <c r="H933" s="13"/>
      <c r="I933" s="12"/>
    </row>
    <row r="934" customFormat="false" ht="15" hidden="false" customHeight="false" outlineLevel="0" collapsed="false">
      <c r="A934" s="11"/>
      <c r="B934" s="12"/>
      <c r="C934" s="12"/>
      <c r="D934" s="13"/>
      <c r="E934" s="13"/>
      <c r="F934" s="13"/>
      <c r="G934" s="10" t="str">
        <f aca="false">IF(AND(E934&lt;&gt;"",F934&lt;&gt;""),E934*F934,"")</f>
        <v/>
      </c>
      <c r="H934" s="13"/>
      <c r="I934" s="12"/>
    </row>
    <row r="935" customFormat="false" ht="15" hidden="false" customHeight="false" outlineLevel="0" collapsed="false">
      <c r="A935" s="11"/>
      <c r="B935" s="12"/>
      <c r="C935" s="12"/>
      <c r="D935" s="13"/>
      <c r="E935" s="13"/>
      <c r="F935" s="13"/>
      <c r="G935" s="10" t="str">
        <f aca="false">IF(AND(E935&lt;&gt;"",F935&lt;&gt;""),E935*F935,"")</f>
        <v/>
      </c>
      <c r="H935" s="13"/>
      <c r="I935" s="12"/>
    </row>
    <row r="936" customFormat="false" ht="15" hidden="false" customHeight="false" outlineLevel="0" collapsed="false">
      <c r="A936" s="11"/>
      <c r="B936" s="12"/>
      <c r="C936" s="12"/>
      <c r="D936" s="13"/>
      <c r="E936" s="13"/>
      <c r="F936" s="13"/>
      <c r="G936" s="10" t="str">
        <f aca="false">IF(AND(E936&lt;&gt;"",F936&lt;&gt;""),E936*F936,"")</f>
        <v/>
      </c>
      <c r="H936" s="13"/>
      <c r="I936" s="12"/>
    </row>
    <row r="937" customFormat="false" ht="15" hidden="false" customHeight="false" outlineLevel="0" collapsed="false">
      <c r="A937" s="11"/>
      <c r="B937" s="12"/>
      <c r="C937" s="12"/>
      <c r="D937" s="13"/>
      <c r="E937" s="13"/>
      <c r="F937" s="13"/>
      <c r="G937" s="10" t="str">
        <f aca="false">IF(AND(E937&lt;&gt;"",F937&lt;&gt;""),E937*F937,"")</f>
        <v/>
      </c>
      <c r="H937" s="13"/>
      <c r="I937" s="12"/>
    </row>
    <row r="938" customFormat="false" ht="15" hidden="false" customHeight="false" outlineLevel="0" collapsed="false">
      <c r="A938" s="11"/>
      <c r="B938" s="12"/>
      <c r="C938" s="12"/>
      <c r="D938" s="13"/>
      <c r="E938" s="13"/>
      <c r="F938" s="13"/>
      <c r="G938" s="10" t="str">
        <f aca="false">IF(AND(E938&lt;&gt;"",F938&lt;&gt;""),E938*F938,"")</f>
        <v/>
      </c>
      <c r="H938" s="13"/>
      <c r="I938" s="12"/>
    </row>
    <row r="939" customFormat="false" ht="15" hidden="false" customHeight="false" outlineLevel="0" collapsed="false">
      <c r="A939" s="11"/>
      <c r="B939" s="12"/>
      <c r="C939" s="12"/>
      <c r="D939" s="13"/>
      <c r="E939" s="13"/>
      <c r="F939" s="13"/>
      <c r="G939" s="10" t="str">
        <f aca="false">IF(AND(E939&lt;&gt;"",F939&lt;&gt;""),E939*F939,"")</f>
        <v/>
      </c>
      <c r="H939" s="13"/>
      <c r="I939" s="12"/>
    </row>
    <row r="940" customFormat="false" ht="15" hidden="false" customHeight="false" outlineLevel="0" collapsed="false">
      <c r="A940" s="11"/>
      <c r="B940" s="12"/>
      <c r="C940" s="12"/>
      <c r="D940" s="13"/>
      <c r="E940" s="13"/>
      <c r="F940" s="13"/>
      <c r="G940" s="10" t="str">
        <f aca="false">IF(AND(E940&lt;&gt;"",F940&lt;&gt;""),E940*F940,"")</f>
        <v/>
      </c>
      <c r="H940" s="13"/>
      <c r="I940" s="12"/>
    </row>
    <row r="941" customFormat="false" ht="15" hidden="false" customHeight="false" outlineLevel="0" collapsed="false">
      <c r="A941" s="11"/>
      <c r="B941" s="12"/>
      <c r="C941" s="12"/>
      <c r="D941" s="13"/>
      <c r="E941" s="13"/>
      <c r="F941" s="13"/>
      <c r="G941" s="10" t="str">
        <f aca="false">IF(AND(E941&lt;&gt;"",F941&lt;&gt;""),E941*F941,"")</f>
        <v/>
      </c>
      <c r="H941" s="13"/>
      <c r="I941" s="12"/>
    </row>
    <row r="942" customFormat="false" ht="15" hidden="false" customHeight="false" outlineLevel="0" collapsed="false">
      <c r="A942" s="11"/>
      <c r="B942" s="12"/>
      <c r="C942" s="12"/>
      <c r="D942" s="13"/>
      <c r="E942" s="13"/>
      <c r="F942" s="13"/>
      <c r="G942" s="10" t="str">
        <f aca="false">IF(AND(E942&lt;&gt;"",F942&lt;&gt;""),E942*F942,"")</f>
        <v/>
      </c>
      <c r="H942" s="13"/>
      <c r="I942" s="12"/>
    </row>
    <row r="943" customFormat="false" ht="15" hidden="false" customHeight="false" outlineLevel="0" collapsed="false">
      <c r="A943" s="11"/>
      <c r="B943" s="12"/>
      <c r="C943" s="12"/>
      <c r="D943" s="13"/>
      <c r="E943" s="13"/>
      <c r="F943" s="13"/>
      <c r="G943" s="10" t="str">
        <f aca="false">IF(AND(E943&lt;&gt;"",F943&lt;&gt;""),E943*F943,"")</f>
        <v/>
      </c>
      <c r="H943" s="13"/>
      <c r="I943" s="12"/>
    </row>
    <row r="944" customFormat="false" ht="15" hidden="false" customHeight="false" outlineLevel="0" collapsed="false">
      <c r="A944" s="11"/>
      <c r="B944" s="12"/>
      <c r="C944" s="12"/>
      <c r="D944" s="13"/>
      <c r="E944" s="13"/>
      <c r="F944" s="13"/>
      <c r="G944" s="10" t="str">
        <f aca="false">IF(AND(E944&lt;&gt;"",F944&lt;&gt;""),E944*F944,"")</f>
        <v/>
      </c>
      <c r="H944" s="13"/>
      <c r="I944" s="12"/>
    </row>
    <row r="945" customFormat="false" ht="15" hidden="false" customHeight="false" outlineLevel="0" collapsed="false">
      <c r="A945" s="11"/>
      <c r="B945" s="12"/>
      <c r="C945" s="12"/>
      <c r="D945" s="13"/>
      <c r="E945" s="13"/>
      <c r="F945" s="13"/>
      <c r="G945" s="10" t="str">
        <f aca="false">IF(AND(E945&lt;&gt;"",F945&lt;&gt;""),E945*F945,"")</f>
        <v/>
      </c>
      <c r="H945" s="13"/>
      <c r="I945" s="12"/>
    </row>
    <row r="946" customFormat="false" ht="15" hidden="false" customHeight="false" outlineLevel="0" collapsed="false">
      <c r="A946" s="11"/>
      <c r="B946" s="12"/>
      <c r="C946" s="12"/>
      <c r="D946" s="13"/>
      <c r="E946" s="13"/>
      <c r="F946" s="13"/>
      <c r="G946" s="10" t="str">
        <f aca="false">IF(AND(E946&lt;&gt;"",F946&lt;&gt;""),E946*F946,"")</f>
        <v/>
      </c>
      <c r="H946" s="13"/>
      <c r="I946" s="12"/>
    </row>
    <row r="947" customFormat="false" ht="15" hidden="false" customHeight="false" outlineLevel="0" collapsed="false">
      <c r="A947" s="11"/>
      <c r="B947" s="12"/>
      <c r="C947" s="12"/>
      <c r="D947" s="13"/>
      <c r="E947" s="13"/>
      <c r="F947" s="13"/>
      <c r="G947" s="10" t="str">
        <f aca="false">IF(AND(E947&lt;&gt;"",F947&lt;&gt;""),E947*F947,"")</f>
        <v/>
      </c>
      <c r="H947" s="13"/>
      <c r="I947" s="12"/>
    </row>
    <row r="948" customFormat="false" ht="15" hidden="false" customHeight="false" outlineLevel="0" collapsed="false">
      <c r="A948" s="11"/>
      <c r="B948" s="12"/>
      <c r="C948" s="12"/>
      <c r="D948" s="13"/>
      <c r="E948" s="13"/>
      <c r="F948" s="13"/>
      <c r="G948" s="10" t="str">
        <f aca="false">IF(AND(E948&lt;&gt;"",F948&lt;&gt;""),E948*F948,"")</f>
        <v/>
      </c>
      <c r="H948" s="13"/>
      <c r="I948" s="12"/>
    </row>
    <row r="949" customFormat="false" ht="15" hidden="false" customHeight="false" outlineLevel="0" collapsed="false">
      <c r="A949" s="11"/>
      <c r="B949" s="12"/>
      <c r="C949" s="12"/>
      <c r="D949" s="13"/>
      <c r="E949" s="13"/>
      <c r="F949" s="13"/>
      <c r="G949" s="10" t="str">
        <f aca="false">IF(AND(E949&lt;&gt;"",F949&lt;&gt;""),E949*F949,"")</f>
        <v/>
      </c>
      <c r="H949" s="13"/>
      <c r="I949" s="12"/>
    </row>
    <row r="950" customFormat="false" ht="15" hidden="false" customHeight="false" outlineLevel="0" collapsed="false">
      <c r="A950" s="11"/>
      <c r="B950" s="12"/>
      <c r="C950" s="12"/>
      <c r="D950" s="13"/>
      <c r="E950" s="13"/>
      <c r="F950" s="13"/>
      <c r="G950" s="10" t="str">
        <f aca="false">IF(AND(E950&lt;&gt;"",F950&lt;&gt;""),E950*F950,"")</f>
        <v/>
      </c>
      <c r="H950" s="13"/>
      <c r="I950" s="12"/>
    </row>
    <row r="951" customFormat="false" ht="15" hidden="false" customHeight="false" outlineLevel="0" collapsed="false">
      <c r="A951" s="11"/>
      <c r="B951" s="12"/>
      <c r="C951" s="12"/>
      <c r="D951" s="13"/>
      <c r="E951" s="13"/>
      <c r="F951" s="13"/>
      <c r="G951" s="10" t="str">
        <f aca="false">IF(AND(E951&lt;&gt;"",F951&lt;&gt;""),E951*F951,"")</f>
        <v/>
      </c>
      <c r="H951" s="13"/>
      <c r="I951" s="12"/>
    </row>
    <row r="952" customFormat="false" ht="15" hidden="false" customHeight="false" outlineLevel="0" collapsed="false">
      <c r="A952" s="11"/>
      <c r="B952" s="12"/>
      <c r="C952" s="12"/>
      <c r="D952" s="13"/>
      <c r="E952" s="13"/>
      <c r="F952" s="13"/>
      <c r="G952" s="10" t="str">
        <f aca="false">IF(AND(E952&lt;&gt;"",F952&lt;&gt;""),E952*F952,"")</f>
        <v/>
      </c>
      <c r="H952" s="13"/>
      <c r="I952" s="12"/>
    </row>
    <row r="953" customFormat="false" ht="15" hidden="false" customHeight="false" outlineLevel="0" collapsed="false">
      <c r="A953" s="11"/>
      <c r="B953" s="12"/>
      <c r="C953" s="12"/>
      <c r="D953" s="13"/>
      <c r="E953" s="13"/>
      <c r="F953" s="13"/>
      <c r="G953" s="10" t="str">
        <f aca="false">IF(AND(E953&lt;&gt;"",F953&lt;&gt;""),E953*F953,"")</f>
        <v/>
      </c>
      <c r="H953" s="13"/>
      <c r="I953" s="12"/>
    </row>
    <row r="954" customFormat="false" ht="15" hidden="false" customHeight="false" outlineLevel="0" collapsed="false">
      <c r="A954" s="11"/>
      <c r="B954" s="12"/>
      <c r="C954" s="12"/>
      <c r="D954" s="13"/>
      <c r="E954" s="13"/>
      <c r="F954" s="13"/>
      <c r="G954" s="10" t="str">
        <f aca="false">IF(AND(E954&lt;&gt;"",F954&lt;&gt;""),E954*F954,"")</f>
        <v/>
      </c>
      <c r="H954" s="13"/>
      <c r="I954" s="12"/>
    </row>
    <row r="955" customFormat="false" ht="15" hidden="false" customHeight="false" outlineLevel="0" collapsed="false">
      <c r="A955" s="11"/>
      <c r="B955" s="12"/>
      <c r="C955" s="12"/>
      <c r="D955" s="13"/>
      <c r="E955" s="13"/>
      <c r="F955" s="13"/>
      <c r="G955" s="10" t="str">
        <f aca="false">IF(AND(E955&lt;&gt;"",F955&lt;&gt;""),E955*F955,"")</f>
        <v/>
      </c>
      <c r="H955" s="13"/>
      <c r="I955" s="12"/>
    </row>
    <row r="956" customFormat="false" ht="15" hidden="false" customHeight="false" outlineLevel="0" collapsed="false">
      <c r="A956" s="11"/>
      <c r="B956" s="12"/>
      <c r="C956" s="12"/>
      <c r="D956" s="13"/>
      <c r="E956" s="13"/>
      <c r="F956" s="13"/>
      <c r="G956" s="10" t="str">
        <f aca="false">IF(AND(E956&lt;&gt;"",F956&lt;&gt;""),E956*F956,"")</f>
        <v/>
      </c>
      <c r="H956" s="13"/>
      <c r="I956" s="12"/>
    </row>
    <row r="957" customFormat="false" ht="15" hidden="false" customHeight="false" outlineLevel="0" collapsed="false">
      <c r="A957" s="11"/>
      <c r="B957" s="12"/>
      <c r="C957" s="12"/>
      <c r="D957" s="13"/>
      <c r="E957" s="13"/>
      <c r="F957" s="13"/>
      <c r="G957" s="10" t="str">
        <f aca="false">IF(AND(E957&lt;&gt;"",F957&lt;&gt;""),E957*F957,"")</f>
        <v/>
      </c>
      <c r="H957" s="13"/>
      <c r="I957" s="12"/>
    </row>
    <row r="958" customFormat="false" ht="15" hidden="false" customHeight="false" outlineLevel="0" collapsed="false">
      <c r="A958" s="11"/>
      <c r="B958" s="12"/>
      <c r="C958" s="12"/>
      <c r="D958" s="13"/>
      <c r="E958" s="13"/>
      <c r="F958" s="13"/>
      <c r="G958" s="10" t="str">
        <f aca="false">IF(AND(E958&lt;&gt;"",F958&lt;&gt;""),E958*F958,"")</f>
        <v/>
      </c>
      <c r="H958" s="13"/>
      <c r="I958" s="12"/>
    </row>
    <row r="959" customFormat="false" ht="15" hidden="false" customHeight="false" outlineLevel="0" collapsed="false">
      <c r="A959" s="11"/>
      <c r="B959" s="12"/>
      <c r="C959" s="12"/>
      <c r="D959" s="13"/>
      <c r="E959" s="13"/>
      <c r="F959" s="13"/>
      <c r="G959" s="10" t="str">
        <f aca="false">IF(AND(E959&lt;&gt;"",F959&lt;&gt;""),E959*F959,"")</f>
        <v/>
      </c>
      <c r="H959" s="13"/>
      <c r="I959" s="12"/>
    </row>
    <row r="960" customFormat="false" ht="15" hidden="false" customHeight="false" outlineLevel="0" collapsed="false">
      <c r="A960" s="11"/>
      <c r="B960" s="12"/>
      <c r="C960" s="12"/>
      <c r="D960" s="13"/>
      <c r="E960" s="13"/>
      <c r="F960" s="13"/>
      <c r="G960" s="10" t="str">
        <f aca="false">IF(AND(E960&lt;&gt;"",F960&lt;&gt;""),E960*F960,"")</f>
        <v/>
      </c>
      <c r="H960" s="13"/>
      <c r="I960" s="12"/>
    </row>
    <row r="961" customFormat="false" ht="15" hidden="false" customHeight="false" outlineLevel="0" collapsed="false">
      <c r="A961" s="11"/>
      <c r="B961" s="12"/>
      <c r="C961" s="12"/>
      <c r="D961" s="13"/>
      <c r="E961" s="13"/>
      <c r="F961" s="13"/>
      <c r="G961" s="10" t="str">
        <f aca="false">IF(AND(E961&lt;&gt;"",F961&lt;&gt;""),E961*F961,"")</f>
        <v/>
      </c>
      <c r="H961" s="13"/>
      <c r="I961" s="12"/>
    </row>
    <row r="962" customFormat="false" ht="15" hidden="false" customHeight="false" outlineLevel="0" collapsed="false">
      <c r="A962" s="11"/>
      <c r="B962" s="12"/>
      <c r="C962" s="12"/>
      <c r="D962" s="13"/>
      <c r="E962" s="13"/>
      <c r="F962" s="13"/>
      <c r="G962" s="10" t="str">
        <f aca="false">IF(AND(E962&lt;&gt;"",F962&lt;&gt;""),E962*F962,"")</f>
        <v/>
      </c>
      <c r="H962" s="13"/>
      <c r="I962" s="12"/>
    </row>
    <row r="963" customFormat="false" ht="15" hidden="false" customHeight="false" outlineLevel="0" collapsed="false">
      <c r="A963" s="11"/>
      <c r="B963" s="12"/>
      <c r="C963" s="12"/>
      <c r="D963" s="13"/>
      <c r="E963" s="13"/>
      <c r="F963" s="13"/>
      <c r="G963" s="10" t="str">
        <f aca="false">IF(AND(E963&lt;&gt;"",F963&lt;&gt;""),E963*F963,"")</f>
        <v/>
      </c>
      <c r="H963" s="13"/>
      <c r="I963" s="12"/>
    </row>
    <row r="964" customFormat="false" ht="15" hidden="false" customHeight="false" outlineLevel="0" collapsed="false">
      <c r="A964" s="11"/>
      <c r="B964" s="12"/>
      <c r="C964" s="12"/>
      <c r="D964" s="13"/>
      <c r="E964" s="13"/>
      <c r="F964" s="13"/>
      <c r="G964" s="10" t="str">
        <f aca="false">IF(AND(E964&lt;&gt;"",F964&lt;&gt;""),E964*F964,"")</f>
        <v/>
      </c>
      <c r="H964" s="13"/>
      <c r="I964" s="12"/>
    </row>
    <row r="965" customFormat="false" ht="15" hidden="false" customHeight="false" outlineLevel="0" collapsed="false">
      <c r="A965" s="11"/>
      <c r="B965" s="12"/>
      <c r="C965" s="12"/>
      <c r="D965" s="13"/>
      <c r="E965" s="13"/>
      <c r="F965" s="13"/>
      <c r="G965" s="10" t="str">
        <f aca="false">IF(AND(E965&lt;&gt;"",F965&lt;&gt;""),E965*F965,"")</f>
        <v/>
      </c>
      <c r="H965" s="13"/>
      <c r="I965" s="12"/>
    </row>
    <row r="966" customFormat="false" ht="15" hidden="false" customHeight="false" outlineLevel="0" collapsed="false">
      <c r="A966" s="11"/>
      <c r="B966" s="12"/>
      <c r="C966" s="12"/>
      <c r="D966" s="13"/>
      <c r="E966" s="13"/>
      <c r="F966" s="13"/>
      <c r="G966" s="10" t="str">
        <f aca="false">IF(AND(E966&lt;&gt;"",F966&lt;&gt;""),E966*F966,"")</f>
        <v/>
      </c>
      <c r="H966" s="13"/>
      <c r="I966" s="12"/>
    </row>
    <row r="967" customFormat="false" ht="15" hidden="false" customHeight="false" outlineLevel="0" collapsed="false">
      <c r="A967" s="11"/>
      <c r="B967" s="12"/>
      <c r="C967" s="12"/>
      <c r="D967" s="13"/>
      <c r="E967" s="13"/>
      <c r="F967" s="13"/>
      <c r="G967" s="10" t="str">
        <f aca="false">IF(AND(E967&lt;&gt;"",F967&lt;&gt;""),E967*F967,"")</f>
        <v/>
      </c>
      <c r="H967" s="13"/>
      <c r="I967" s="12"/>
    </row>
    <row r="968" customFormat="false" ht="15" hidden="false" customHeight="false" outlineLevel="0" collapsed="false">
      <c r="A968" s="11"/>
      <c r="B968" s="12"/>
      <c r="C968" s="12"/>
      <c r="D968" s="13"/>
      <c r="E968" s="13"/>
      <c r="F968" s="13"/>
      <c r="G968" s="10" t="str">
        <f aca="false">IF(AND(E968&lt;&gt;"",F968&lt;&gt;""),E968*F968,"")</f>
        <v/>
      </c>
      <c r="H968" s="13"/>
      <c r="I968" s="12"/>
    </row>
    <row r="969" customFormat="false" ht="15" hidden="false" customHeight="false" outlineLevel="0" collapsed="false">
      <c r="A969" s="11"/>
      <c r="B969" s="12"/>
      <c r="C969" s="12"/>
      <c r="D969" s="13"/>
      <c r="E969" s="13"/>
      <c r="F969" s="13"/>
      <c r="G969" s="10" t="str">
        <f aca="false">IF(AND(E969&lt;&gt;"",F969&lt;&gt;""),E969*F969,"")</f>
        <v/>
      </c>
      <c r="H969" s="13"/>
      <c r="I969" s="12"/>
    </row>
    <row r="970" customFormat="false" ht="15" hidden="false" customHeight="false" outlineLevel="0" collapsed="false">
      <c r="A970" s="11"/>
      <c r="B970" s="12"/>
      <c r="C970" s="12"/>
      <c r="D970" s="13"/>
      <c r="E970" s="13"/>
      <c r="F970" s="13"/>
      <c r="G970" s="10" t="str">
        <f aca="false">IF(AND(E970&lt;&gt;"",F970&lt;&gt;""),E970*F970,"")</f>
        <v/>
      </c>
      <c r="H970" s="13"/>
      <c r="I970" s="12"/>
    </row>
    <row r="971" customFormat="false" ht="15" hidden="false" customHeight="false" outlineLevel="0" collapsed="false">
      <c r="A971" s="11"/>
      <c r="B971" s="12"/>
      <c r="C971" s="12"/>
      <c r="D971" s="13"/>
      <c r="E971" s="13"/>
      <c r="F971" s="13"/>
      <c r="G971" s="10" t="str">
        <f aca="false">IF(AND(E971&lt;&gt;"",F971&lt;&gt;""),E971*F971,"")</f>
        <v/>
      </c>
      <c r="H971" s="13"/>
      <c r="I971" s="12"/>
    </row>
    <row r="972" customFormat="false" ht="15" hidden="false" customHeight="false" outlineLevel="0" collapsed="false">
      <c r="A972" s="11"/>
      <c r="B972" s="12"/>
      <c r="C972" s="12"/>
      <c r="D972" s="13"/>
      <c r="E972" s="13"/>
      <c r="F972" s="13"/>
      <c r="G972" s="10" t="str">
        <f aca="false">IF(AND(E972&lt;&gt;"",F972&lt;&gt;""),E972*F972,"")</f>
        <v/>
      </c>
      <c r="H972" s="13"/>
      <c r="I972" s="12"/>
    </row>
    <row r="973" customFormat="false" ht="15" hidden="false" customHeight="false" outlineLevel="0" collapsed="false">
      <c r="A973" s="11"/>
      <c r="B973" s="12"/>
      <c r="C973" s="12"/>
      <c r="D973" s="13"/>
      <c r="E973" s="13"/>
      <c r="F973" s="13"/>
      <c r="G973" s="10" t="str">
        <f aca="false">IF(AND(E973&lt;&gt;"",F973&lt;&gt;""),E973*F973,"")</f>
        <v/>
      </c>
      <c r="H973" s="13"/>
      <c r="I973" s="12"/>
    </row>
    <row r="974" customFormat="false" ht="15" hidden="false" customHeight="false" outlineLevel="0" collapsed="false">
      <c r="A974" s="11"/>
      <c r="B974" s="12"/>
      <c r="C974" s="12"/>
      <c r="D974" s="13"/>
      <c r="E974" s="13"/>
      <c r="F974" s="13"/>
      <c r="G974" s="10" t="str">
        <f aca="false">IF(AND(E974&lt;&gt;"",F974&lt;&gt;""),E974*F974,"")</f>
        <v/>
      </c>
      <c r="H974" s="13"/>
      <c r="I974" s="12"/>
    </row>
    <row r="975" customFormat="false" ht="15" hidden="false" customHeight="false" outlineLevel="0" collapsed="false">
      <c r="A975" s="11"/>
      <c r="B975" s="12"/>
      <c r="C975" s="12"/>
      <c r="D975" s="13"/>
      <c r="E975" s="13"/>
      <c r="F975" s="13"/>
      <c r="G975" s="10" t="str">
        <f aca="false">IF(AND(E975&lt;&gt;"",F975&lt;&gt;""),E975*F975,"")</f>
        <v/>
      </c>
      <c r="H975" s="13"/>
      <c r="I975" s="12"/>
    </row>
    <row r="976" customFormat="false" ht="15" hidden="false" customHeight="false" outlineLevel="0" collapsed="false">
      <c r="A976" s="11"/>
      <c r="B976" s="12"/>
      <c r="C976" s="12"/>
      <c r="D976" s="13"/>
      <c r="E976" s="13"/>
      <c r="F976" s="13"/>
      <c r="G976" s="10" t="str">
        <f aca="false">IF(AND(E976&lt;&gt;"",F976&lt;&gt;""),E976*F976,"")</f>
        <v/>
      </c>
      <c r="H976" s="13"/>
      <c r="I976" s="12"/>
    </row>
    <row r="977" customFormat="false" ht="15" hidden="false" customHeight="false" outlineLevel="0" collapsed="false">
      <c r="A977" s="11"/>
      <c r="B977" s="12"/>
      <c r="C977" s="12"/>
      <c r="D977" s="13"/>
      <c r="E977" s="13"/>
      <c r="F977" s="13"/>
      <c r="G977" s="10" t="str">
        <f aca="false">IF(AND(E977&lt;&gt;"",F977&lt;&gt;""),E977*F977,"")</f>
        <v/>
      </c>
      <c r="H977" s="13"/>
      <c r="I977" s="12"/>
    </row>
    <row r="978" customFormat="false" ht="15" hidden="false" customHeight="false" outlineLevel="0" collapsed="false">
      <c r="A978" s="11"/>
      <c r="B978" s="12"/>
      <c r="C978" s="12"/>
      <c r="D978" s="13"/>
      <c r="E978" s="13"/>
      <c r="F978" s="13"/>
      <c r="G978" s="10" t="str">
        <f aca="false">IF(AND(E978&lt;&gt;"",F978&lt;&gt;""),E978*F978,"")</f>
        <v/>
      </c>
      <c r="H978" s="13"/>
      <c r="I978" s="12"/>
    </row>
    <row r="979" customFormat="false" ht="15" hidden="false" customHeight="false" outlineLevel="0" collapsed="false">
      <c r="A979" s="11"/>
      <c r="B979" s="12"/>
      <c r="C979" s="12"/>
      <c r="D979" s="13"/>
      <c r="E979" s="13"/>
      <c r="F979" s="13"/>
      <c r="G979" s="10" t="str">
        <f aca="false">IF(AND(E979&lt;&gt;"",F979&lt;&gt;""),E979*F979,"")</f>
        <v/>
      </c>
      <c r="H979" s="13"/>
      <c r="I979" s="12"/>
    </row>
    <row r="980" customFormat="false" ht="15" hidden="false" customHeight="false" outlineLevel="0" collapsed="false">
      <c r="A980" s="11"/>
      <c r="B980" s="12"/>
      <c r="C980" s="12"/>
      <c r="D980" s="13"/>
      <c r="E980" s="13"/>
      <c r="F980" s="13"/>
      <c r="G980" s="10" t="str">
        <f aca="false">IF(AND(E980&lt;&gt;"",F980&lt;&gt;""),E980*F980,"")</f>
        <v/>
      </c>
      <c r="H980" s="13"/>
      <c r="I980" s="12"/>
    </row>
    <row r="981" customFormat="false" ht="15" hidden="false" customHeight="false" outlineLevel="0" collapsed="false">
      <c r="A981" s="11"/>
      <c r="B981" s="12"/>
      <c r="C981" s="12"/>
      <c r="D981" s="13"/>
      <c r="E981" s="13"/>
      <c r="F981" s="13"/>
      <c r="G981" s="10" t="str">
        <f aca="false">IF(AND(E981&lt;&gt;"",F981&lt;&gt;""),E981*F981,"")</f>
        <v/>
      </c>
      <c r="H981" s="13"/>
      <c r="I981" s="12"/>
    </row>
    <row r="982" customFormat="false" ht="15" hidden="false" customHeight="false" outlineLevel="0" collapsed="false">
      <c r="A982" s="11"/>
      <c r="B982" s="12"/>
      <c r="C982" s="12"/>
      <c r="D982" s="13"/>
      <c r="E982" s="13"/>
      <c r="F982" s="13"/>
      <c r="G982" s="10" t="str">
        <f aca="false">IF(AND(E982&lt;&gt;"",F982&lt;&gt;""),E982*F982,"")</f>
        <v/>
      </c>
      <c r="H982" s="13"/>
      <c r="I982" s="12"/>
    </row>
    <row r="983" customFormat="false" ht="15" hidden="false" customHeight="false" outlineLevel="0" collapsed="false">
      <c r="A983" s="11"/>
      <c r="B983" s="12"/>
      <c r="C983" s="12"/>
      <c r="D983" s="13"/>
      <c r="E983" s="13"/>
      <c r="F983" s="13"/>
      <c r="G983" s="10" t="str">
        <f aca="false">IF(AND(E983&lt;&gt;"",F983&lt;&gt;""),E983*F983,"")</f>
        <v/>
      </c>
      <c r="H983" s="13"/>
      <c r="I983" s="12"/>
    </row>
    <row r="984" customFormat="false" ht="15" hidden="false" customHeight="false" outlineLevel="0" collapsed="false">
      <c r="A984" s="11"/>
      <c r="B984" s="12"/>
      <c r="C984" s="12"/>
      <c r="D984" s="13"/>
      <c r="E984" s="13"/>
      <c r="F984" s="13"/>
      <c r="G984" s="10" t="str">
        <f aca="false">IF(AND(E984&lt;&gt;"",F984&lt;&gt;""),E984*F984,"")</f>
        <v/>
      </c>
      <c r="H984" s="13"/>
      <c r="I984" s="12"/>
    </row>
    <row r="985" customFormat="false" ht="15" hidden="false" customHeight="false" outlineLevel="0" collapsed="false">
      <c r="A985" s="11"/>
      <c r="B985" s="12"/>
      <c r="C985" s="12"/>
      <c r="D985" s="13"/>
      <c r="E985" s="13"/>
      <c r="F985" s="13"/>
      <c r="G985" s="10" t="str">
        <f aca="false">IF(AND(E985&lt;&gt;"",F985&lt;&gt;""),E985*F985,"")</f>
        <v/>
      </c>
      <c r="H985" s="13"/>
      <c r="I985" s="12"/>
    </row>
    <row r="986" customFormat="false" ht="15" hidden="false" customHeight="false" outlineLevel="0" collapsed="false">
      <c r="A986" s="11"/>
      <c r="B986" s="12"/>
      <c r="C986" s="12"/>
      <c r="D986" s="13"/>
      <c r="E986" s="13"/>
      <c r="F986" s="13"/>
      <c r="G986" s="10" t="str">
        <f aca="false">IF(AND(E986&lt;&gt;"",F986&lt;&gt;""),E986*F986,"")</f>
        <v/>
      </c>
      <c r="H986" s="13"/>
      <c r="I986" s="12"/>
    </row>
    <row r="987" customFormat="false" ht="15" hidden="false" customHeight="false" outlineLevel="0" collapsed="false">
      <c r="A987" s="11"/>
      <c r="B987" s="12"/>
      <c r="C987" s="12"/>
      <c r="D987" s="13"/>
      <c r="E987" s="13"/>
      <c r="F987" s="13"/>
      <c r="G987" s="10" t="str">
        <f aca="false">IF(AND(E987&lt;&gt;"",F987&lt;&gt;""),E987*F987,"")</f>
        <v/>
      </c>
      <c r="H987" s="13"/>
      <c r="I987" s="12"/>
    </row>
    <row r="988" customFormat="false" ht="15" hidden="false" customHeight="false" outlineLevel="0" collapsed="false">
      <c r="A988" s="11"/>
      <c r="B988" s="12"/>
      <c r="C988" s="12"/>
      <c r="D988" s="13"/>
      <c r="E988" s="13"/>
      <c r="F988" s="13"/>
      <c r="G988" s="10" t="str">
        <f aca="false">IF(AND(E988&lt;&gt;"",F988&lt;&gt;""),E988*F988,"")</f>
        <v/>
      </c>
      <c r="H988" s="13"/>
      <c r="I988" s="12"/>
    </row>
    <row r="989" customFormat="false" ht="15" hidden="false" customHeight="false" outlineLevel="0" collapsed="false">
      <c r="A989" s="11"/>
      <c r="B989" s="12"/>
      <c r="C989" s="12"/>
      <c r="D989" s="13"/>
      <c r="E989" s="13"/>
      <c r="F989" s="13"/>
      <c r="G989" s="10" t="str">
        <f aca="false">IF(AND(E989&lt;&gt;"",F989&lt;&gt;""),E989*F989,"")</f>
        <v/>
      </c>
      <c r="H989" s="13"/>
      <c r="I989" s="12"/>
    </row>
    <row r="990" customFormat="false" ht="15" hidden="false" customHeight="false" outlineLevel="0" collapsed="false">
      <c r="A990" s="11"/>
      <c r="B990" s="12"/>
      <c r="C990" s="12"/>
      <c r="D990" s="13"/>
      <c r="E990" s="13"/>
      <c r="F990" s="13"/>
      <c r="G990" s="10" t="str">
        <f aca="false">IF(AND(E990&lt;&gt;"",F990&lt;&gt;""),E990*F990,"")</f>
        <v/>
      </c>
      <c r="H990" s="13"/>
      <c r="I990" s="12"/>
    </row>
    <row r="991" customFormat="false" ht="15" hidden="false" customHeight="false" outlineLevel="0" collapsed="false">
      <c r="A991" s="11"/>
      <c r="B991" s="12"/>
      <c r="C991" s="12"/>
      <c r="D991" s="13"/>
      <c r="E991" s="13"/>
      <c r="F991" s="13"/>
      <c r="G991" s="10" t="str">
        <f aca="false">IF(AND(E991&lt;&gt;"",F991&lt;&gt;""),E991*F991,"")</f>
        <v/>
      </c>
      <c r="H991" s="13"/>
      <c r="I991" s="12"/>
    </row>
    <row r="992" customFormat="false" ht="15" hidden="false" customHeight="false" outlineLevel="0" collapsed="false">
      <c r="A992" s="11"/>
      <c r="B992" s="12"/>
      <c r="C992" s="12"/>
      <c r="D992" s="13"/>
      <c r="E992" s="13"/>
      <c r="F992" s="13"/>
      <c r="G992" s="10" t="str">
        <f aca="false">IF(AND(E992&lt;&gt;"",F992&lt;&gt;""),E992*F992,"")</f>
        <v/>
      </c>
      <c r="H992" s="13"/>
      <c r="I992" s="12"/>
    </row>
    <row r="993" customFormat="false" ht="15" hidden="false" customHeight="false" outlineLevel="0" collapsed="false">
      <c r="A993" s="11"/>
      <c r="B993" s="12"/>
      <c r="C993" s="12"/>
      <c r="D993" s="13"/>
      <c r="E993" s="13"/>
      <c r="F993" s="13"/>
      <c r="G993" s="10" t="str">
        <f aca="false">IF(AND(E993&lt;&gt;"",F993&lt;&gt;""),E993*F993,"")</f>
        <v/>
      </c>
      <c r="H993" s="13"/>
      <c r="I993" s="12"/>
    </row>
    <row r="994" customFormat="false" ht="15" hidden="false" customHeight="false" outlineLevel="0" collapsed="false">
      <c r="A994" s="11"/>
      <c r="B994" s="12"/>
      <c r="C994" s="12"/>
      <c r="D994" s="13"/>
      <c r="E994" s="13"/>
      <c r="F994" s="13"/>
      <c r="G994" s="10" t="str">
        <f aca="false">IF(AND(E994&lt;&gt;"",F994&lt;&gt;""),E994*F994,"")</f>
        <v/>
      </c>
      <c r="H994" s="13"/>
      <c r="I994" s="12"/>
    </row>
    <row r="995" customFormat="false" ht="15" hidden="false" customHeight="false" outlineLevel="0" collapsed="false">
      <c r="A995" s="11"/>
      <c r="B995" s="12"/>
      <c r="C995" s="12"/>
      <c r="D995" s="13"/>
      <c r="E995" s="13"/>
      <c r="F995" s="13"/>
      <c r="G995" s="10" t="str">
        <f aca="false">IF(AND(E995&lt;&gt;"",F995&lt;&gt;""),E995*F995,"")</f>
        <v/>
      </c>
      <c r="H995" s="13"/>
      <c r="I995" s="12"/>
    </row>
    <row r="996" customFormat="false" ht="15" hidden="false" customHeight="false" outlineLevel="0" collapsed="false">
      <c r="A996" s="11"/>
      <c r="B996" s="12"/>
      <c r="C996" s="12"/>
      <c r="D996" s="13"/>
      <c r="E996" s="13"/>
      <c r="F996" s="13"/>
      <c r="G996" s="10" t="str">
        <f aca="false">IF(AND(E996&lt;&gt;"",F996&lt;&gt;""),E996*F996,"")</f>
        <v/>
      </c>
      <c r="H996" s="13"/>
      <c r="I996" s="12"/>
    </row>
    <row r="997" customFormat="false" ht="15" hidden="false" customHeight="false" outlineLevel="0" collapsed="false">
      <c r="A997" s="11"/>
      <c r="B997" s="12"/>
      <c r="C997" s="12"/>
      <c r="D997" s="13"/>
      <c r="E997" s="13"/>
      <c r="F997" s="13"/>
      <c r="G997" s="10" t="str">
        <f aca="false">IF(AND(E997&lt;&gt;"",F997&lt;&gt;""),E997*F997,"")</f>
        <v/>
      </c>
      <c r="H997" s="13"/>
      <c r="I997" s="12"/>
    </row>
    <row r="998" customFormat="false" ht="15" hidden="false" customHeight="false" outlineLevel="0" collapsed="false">
      <c r="A998" s="11"/>
      <c r="B998" s="12"/>
      <c r="C998" s="12"/>
      <c r="D998" s="13"/>
      <c r="E998" s="13"/>
      <c r="F998" s="13"/>
      <c r="G998" s="10" t="str">
        <f aca="false">IF(AND(E998&lt;&gt;"",F998&lt;&gt;""),E998*F998,"")</f>
        <v/>
      </c>
      <c r="H998" s="13"/>
      <c r="I998" s="12"/>
    </row>
    <row r="999" customFormat="false" ht="15" hidden="false" customHeight="false" outlineLevel="0" collapsed="false">
      <c r="A999" s="11"/>
      <c r="B999" s="12"/>
      <c r="C999" s="12"/>
      <c r="D999" s="13"/>
      <c r="E999" s="13"/>
      <c r="F999" s="13"/>
      <c r="G999" s="10" t="str">
        <f aca="false">IF(AND(E999&lt;&gt;"",F999&lt;&gt;""),E999*F999,"")</f>
        <v/>
      </c>
      <c r="H999" s="13"/>
      <c r="I999" s="12"/>
    </row>
    <row r="1000" customFormat="false" ht="15" hidden="false" customHeight="false" outlineLevel="0" collapsed="false">
      <c r="A1000" s="11"/>
      <c r="B1000" s="12"/>
      <c r="C1000" s="12"/>
      <c r="D1000" s="13"/>
      <c r="E1000" s="13"/>
      <c r="F1000" s="13"/>
      <c r="G1000" s="10" t="str">
        <f aca="false">IF(AND(E1000&lt;&gt;"",F1000&lt;&gt;""),E1000*F1000,"")</f>
        <v/>
      </c>
      <c r="H1000" s="13"/>
      <c r="I1000" s="12"/>
    </row>
    <row r="1001" customFormat="false" ht="15" hidden="false" customHeight="false" outlineLevel="0" collapsed="false">
      <c r="A1001" s="11"/>
      <c r="B1001" s="12"/>
      <c r="C1001" s="12"/>
      <c r="D1001" s="13"/>
      <c r="E1001" s="13"/>
      <c r="F1001" s="13"/>
      <c r="G1001" s="10" t="str">
        <f aca="false">IF(AND(E1001&lt;&gt;"",F1001&lt;&gt;""),E1001*F1001,"")</f>
        <v/>
      </c>
      <c r="H1001" s="13"/>
      <c r="I1001" s="12"/>
    </row>
    <row r="1002" customFormat="false" ht="15" hidden="false" customHeight="false" outlineLevel="0" collapsed="false">
      <c r="A1002" s="11"/>
      <c r="B1002" s="12"/>
      <c r="C1002" s="12"/>
      <c r="D1002" s="13"/>
      <c r="E1002" s="13"/>
      <c r="F1002" s="13"/>
      <c r="G1002" s="10" t="str">
        <f aca="false">IF(AND(E1002&lt;&gt;"",F1002&lt;&gt;""),E1002*F1002,"")</f>
        <v/>
      </c>
      <c r="H1002" s="13"/>
      <c r="I1002" s="12"/>
    </row>
    <row r="1003" customFormat="false" ht="15" hidden="false" customHeight="false" outlineLevel="0" collapsed="false">
      <c r="A1003" s="11"/>
      <c r="B1003" s="12"/>
      <c r="C1003" s="12"/>
      <c r="D1003" s="13"/>
      <c r="E1003" s="13"/>
      <c r="F1003" s="13"/>
      <c r="G1003" s="10" t="str">
        <f aca="false">IF(AND(E1003&lt;&gt;"",F1003&lt;&gt;""),E1003*F1003,"")</f>
        <v/>
      </c>
      <c r="H1003" s="13"/>
      <c r="I1003" s="12"/>
    </row>
    <row r="1004" customFormat="false" ht="15" hidden="false" customHeight="false" outlineLevel="0" collapsed="false">
      <c r="A1004" s="11"/>
      <c r="B1004" s="12"/>
      <c r="C1004" s="12"/>
      <c r="D1004" s="13"/>
      <c r="E1004" s="13"/>
      <c r="F1004" s="13"/>
      <c r="G1004" s="10" t="str">
        <f aca="false">IF(AND(E1004&lt;&gt;"",F1004&lt;&gt;""),E1004*F1004,"")</f>
        <v/>
      </c>
      <c r="H1004" s="13"/>
      <c r="I1004" s="12"/>
    </row>
  </sheetData>
  <dataValidations count="2">
    <dataValidation allowBlank="true" errorStyle="stop" operator="between" showDropDown="false" showErrorMessage="false" showInputMessage="false" sqref="B5:B1004" type="list">
      <formula1>Program!$K$5:$K$9</formula1>
      <formula2>0</formula2>
    </dataValidation>
    <dataValidation allowBlank="true" errorStyle="stop" operator="between" showDropDown="false" showErrorMessage="false" showInputMessage="false" sqref="C5:C1004" type="list">
      <formula1>Program!$I$5:$I$41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3"/>
    <col collapsed="false" customWidth="true" hidden="false" outlineLevel="0" max="3" min="3" style="0" width="16"/>
    <col collapsed="false" customWidth="true" hidden="false" outlineLevel="0" max="4" min="4" style="0" width="20"/>
    <col collapsed="false" customWidth="true" hidden="false" outlineLevel="0" max="5" min="5" style="0" width="46"/>
  </cols>
  <sheetData>
    <row r="1" customFormat="false" ht="17.35" hidden="false" customHeight="false" outlineLevel="0" collapsed="false">
      <c r="A1" s="1" t="s">
        <v>3</v>
      </c>
    </row>
    <row r="2" customFormat="false" ht="15" hidden="false" customHeight="false" outlineLevel="0" collapsed="false">
      <c r="A2" s="4" t="s">
        <v>33</v>
      </c>
    </row>
    <row r="3" customFormat="false" ht="15" hidden="false" customHeight="false" outlineLevel="0" collapsed="false">
      <c r="A3" s="5" t="s">
        <v>19</v>
      </c>
    </row>
    <row r="4" customFormat="false" ht="27.75" hidden="false" customHeight="true" outlineLevel="0" collapsed="false">
      <c r="A4" s="6" t="s">
        <v>20</v>
      </c>
      <c r="B4" s="6" t="s">
        <v>24</v>
      </c>
      <c r="C4" s="6" t="s">
        <v>34</v>
      </c>
      <c r="D4" s="6" t="s">
        <v>35</v>
      </c>
      <c r="E4" s="6" t="s">
        <v>36</v>
      </c>
    </row>
    <row r="5" customFormat="false" ht="15" hidden="false" customHeight="false" outlineLevel="0" collapsed="false">
      <c r="A5" s="14" t="s">
        <v>29</v>
      </c>
      <c r="B5" s="15" t="n">
        <v>85</v>
      </c>
      <c r="C5" s="16" t="str">
        <f aca="false">IF(B5="","",IFERROR(AVERAGEIFS($B$5:$B$504,$A$5:$A$504,"&gt;="&amp;A5-6,$A$5:$A$504,"&lt;="&amp;A5),""))</f>
        <v/>
      </c>
      <c r="D5" s="17" t="str">
        <f aca="false">IF(OR(C5="",COUNTIFS($A$5:$A$504,"&gt;="&amp;A5-13,$A$5:$A$504,"&lt;="&amp;A5-7)=0),"",C5-AVERAGEIFS($B$5:$B$504,$A$5:$A$504,"&gt;="&amp;A5-13,$A$5:$A$504,"&lt;="&amp;A5-7))</f>
        <v/>
      </c>
      <c r="E5" s="18" t="str">
        <f aca="false">IF(D5="","",IF(AND(D5&gt;=0.2,D5&lt;=0.35),"On target — change nothing",IF(D5&lt;0.2,"Gaining too slowly — add 200 kcal to training days","Gaining too fast — cut 200 kcal from training days")))</f>
        <v/>
      </c>
    </row>
    <row r="6" customFormat="false" ht="15" hidden="false" customHeight="false" outlineLevel="0" collapsed="false">
      <c r="A6" s="19"/>
      <c r="B6" s="20"/>
      <c r="C6" s="16" t="str">
        <f aca="false">IF(B6="","",IFERROR(AVERAGEIFS($B$5:$B$504,$A$5:$A$504,"&gt;="&amp;A6-6,$A$5:$A$504,"&lt;="&amp;A6),""))</f>
        <v/>
      </c>
      <c r="D6" s="17" t="str">
        <f aca="false">IF(OR(C6="",COUNTIFS($A$5:$A$504,"&gt;="&amp;A6-13,$A$5:$A$504,"&lt;="&amp;A6-7)=0),"",C6-AVERAGEIFS($B$5:$B$504,$A$5:$A$504,"&gt;="&amp;A6-13,$A$5:$A$504,"&lt;="&amp;A6-7))</f>
        <v/>
      </c>
      <c r="E6" s="18" t="str">
        <f aca="false">IF(D6="","",IF(AND(D6&gt;=0.2,D6&lt;=0.35),"On target — change nothing",IF(D6&lt;0.2,"Gaining too slowly — add 200 kcal to training days","Gaining too fast — cut 200 kcal from training days")))</f>
        <v/>
      </c>
    </row>
    <row r="7" customFormat="false" ht="15" hidden="false" customHeight="false" outlineLevel="0" collapsed="false">
      <c r="A7" s="19"/>
      <c r="B7" s="20"/>
      <c r="C7" s="16" t="str">
        <f aca="false">IF(B7="","",IFERROR(AVERAGEIFS($B$5:$B$504,$A$5:$A$504,"&gt;="&amp;A7-6,$A$5:$A$504,"&lt;="&amp;A7),""))</f>
        <v/>
      </c>
      <c r="D7" s="17" t="str">
        <f aca="false">IF(OR(C7="",COUNTIFS($A$5:$A$504,"&gt;="&amp;A7-13,$A$5:$A$504,"&lt;="&amp;A7-7)=0),"",C7-AVERAGEIFS($B$5:$B$504,$A$5:$A$504,"&gt;="&amp;A7-13,$A$5:$A$504,"&lt;="&amp;A7-7))</f>
        <v/>
      </c>
      <c r="E7" s="18" t="str">
        <f aca="false">IF(D7="","",IF(AND(D7&gt;=0.2,D7&lt;=0.35),"On target — change nothing",IF(D7&lt;0.2,"Gaining too slowly — add 200 kcal to training days","Gaining too fast — cut 200 kcal from training days")))</f>
        <v/>
      </c>
    </row>
    <row r="8" customFormat="false" ht="15" hidden="false" customHeight="false" outlineLevel="0" collapsed="false">
      <c r="A8" s="19"/>
      <c r="B8" s="20"/>
      <c r="C8" s="16" t="str">
        <f aca="false">IF(B8="","",IFERROR(AVERAGEIFS($B$5:$B$504,$A$5:$A$504,"&gt;="&amp;A8-6,$A$5:$A$504,"&lt;="&amp;A8),""))</f>
        <v/>
      </c>
      <c r="D8" s="17" t="str">
        <f aca="false">IF(OR(C8="",COUNTIFS($A$5:$A$504,"&gt;="&amp;A8-13,$A$5:$A$504,"&lt;="&amp;A8-7)=0),"",C8-AVERAGEIFS($B$5:$B$504,$A$5:$A$504,"&gt;="&amp;A8-13,$A$5:$A$504,"&lt;="&amp;A8-7))</f>
        <v/>
      </c>
      <c r="E8" s="18" t="str">
        <f aca="false">IF(D8="","",IF(AND(D8&gt;=0.2,D8&lt;=0.35),"On target — change nothing",IF(D8&lt;0.2,"Gaining too slowly — add 200 kcal to training days","Gaining too fast — cut 200 kcal from training days")))</f>
        <v/>
      </c>
    </row>
    <row r="9" customFormat="false" ht="15" hidden="false" customHeight="false" outlineLevel="0" collapsed="false">
      <c r="A9" s="19"/>
      <c r="B9" s="20"/>
      <c r="C9" s="16" t="str">
        <f aca="false">IF(B9="","",IFERROR(AVERAGEIFS($B$5:$B$504,$A$5:$A$504,"&gt;="&amp;A9-6,$A$5:$A$504,"&lt;="&amp;A9),""))</f>
        <v/>
      </c>
      <c r="D9" s="17" t="str">
        <f aca="false">IF(OR(C9="",COUNTIFS($A$5:$A$504,"&gt;="&amp;A9-13,$A$5:$A$504,"&lt;="&amp;A9-7)=0),"",C9-AVERAGEIFS($B$5:$B$504,$A$5:$A$504,"&gt;="&amp;A9-13,$A$5:$A$504,"&lt;="&amp;A9-7))</f>
        <v/>
      </c>
      <c r="E9" s="18" t="str">
        <f aca="false">IF(D9="","",IF(AND(D9&gt;=0.2,D9&lt;=0.35),"On target — change nothing",IF(D9&lt;0.2,"Gaining too slowly — add 200 kcal to training days","Gaining too fast — cut 200 kcal from training days")))</f>
        <v/>
      </c>
    </row>
    <row r="10" customFormat="false" ht="15" hidden="false" customHeight="false" outlineLevel="0" collapsed="false">
      <c r="A10" s="19"/>
      <c r="B10" s="20"/>
      <c r="C10" s="16" t="str">
        <f aca="false">IF(B10="","",IFERROR(AVERAGEIFS($B$5:$B$504,$A$5:$A$504,"&gt;="&amp;A10-6,$A$5:$A$504,"&lt;="&amp;A10),""))</f>
        <v/>
      </c>
      <c r="D10" s="17" t="str">
        <f aca="false">IF(OR(C10="",COUNTIFS($A$5:$A$504,"&gt;="&amp;A10-13,$A$5:$A$504,"&lt;="&amp;A10-7)=0),"",C10-AVERAGEIFS($B$5:$B$504,$A$5:$A$504,"&gt;="&amp;A10-13,$A$5:$A$504,"&lt;="&amp;A10-7))</f>
        <v/>
      </c>
      <c r="E10" s="18" t="str">
        <f aca="false">IF(D10="","",IF(AND(D10&gt;=0.2,D10&lt;=0.35),"On target — change nothing",IF(D10&lt;0.2,"Gaining too slowly — add 200 kcal to training days","Gaining too fast — cut 200 kcal from training days")))</f>
        <v/>
      </c>
    </row>
    <row r="11" customFormat="false" ht="15" hidden="false" customHeight="false" outlineLevel="0" collapsed="false">
      <c r="A11" s="19"/>
      <c r="B11" s="20"/>
      <c r="C11" s="16" t="str">
        <f aca="false">IF(B11="","",IFERROR(AVERAGEIFS($B$5:$B$504,$A$5:$A$504,"&gt;="&amp;A11-6,$A$5:$A$504,"&lt;="&amp;A11),""))</f>
        <v/>
      </c>
      <c r="D11" s="17" t="str">
        <f aca="false">IF(OR(C11="",COUNTIFS($A$5:$A$504,"&gt;="&amp;A11-13,$A$5:$A$504,"&lt;="&amp;A11-7)=0),"",C11-AVERAGEIFS($B$5:$B$504,$A$5:$A$504,"&gt;="&amp;A11-13,$A$5:$A$504,"&lt;="&amp;A11-7))</f>
        <v/>
      </c>
      <c r="E11" s="18" t="str">
        <f aca="false">IF(D11="","",IF(AND(D11&gt;=0.2,D11&lt;=0.35),"On target — change nothing",IF(D11&lt;0.2,"Gaining too slowly — add 200 kcal to training days","Gaining too fast — cut 200 kcal from training days")))</f>
        <v/>
      </c>
    </row>
    <row r="12" customFormat="false" ht="15" hidden="false" customHeight="false" outlineLevel="0" collapsed="false">
      <c r="A12" s="19"/>
      <c r="B12" s="20"/>
      <c r="C12" s="16" t="str">
        <f aca="false">IF(B12="","",IFERROR(AVERAGEIFS($B$5:$B$504,$A$5:$A$504,"&gt;="&amp;A12-6,$A$5:$A$504,"&lt;="&amp;A12),""))</f>
        <v/>
      </c>
      <c r="D12" s="17" t="str">
        <f aca="false">IF(OR(C12="",COUNTIFS($A$5:$A$504,"&gt;="&amp;A12-13,$A$5:$A$504,"&lt;="&amp;A12-7)=0),"",C12-AVERAGEIFS($B$5:$B$504,$A$5:$A$504,"&gt;="&amp;A12-13,$A$5:$A$504,"&lt;="&amp;A12-7))</f>
        <v/>
      </c>
      <c r="E12" s="18" t="str">
        <f aca="false">IF(D12="","",IF(AND(D12&gt;=0.2,D12&lt;=0.35),"On target — change nothing",IF(D12&lt;0.2,"Gaining too slowly — add 200 kcal to training days","Gaining too fast — cut 200 kcal from training days")))</f>
        <v/>
      </c>
    </row>
    <row r="13" customFormat="false" ht="15" hidden="false" customHeight="false" outlineLevel="0" collapsed="false">
      <c r="A13" s="19"/>
      <c r="B13" s="20"/>
      <c r="C13" s="16" t="str">
        <f aca="false">IF(B13="","",IFERROR(AVERAGEIFS($B$5:$B$504,$A$5:$A$504,"&gt;="&amp;A13-6,$A$5:$A$504,"&lt;="&amp;A13),""))</f>
        <v/>
      </c>
      <c r="D13" s="17" t="str">
        <f aca="false">IF(OR(C13="",COUNTIFS($A$5:$A$504,"&gt;="&amp;A13-13,$A$5:$A$504,"&lt;="&amp;A13-7)=0),"",C13-AVERAGEIFS($B$5:$B$504,$A$5:$A$504,"&gt;="&amp;A13-13,$A$5:$A$504,"&lt;="&amp;A13-7))</f>
        <v/>
      </c>
      <c r="E13" s="18" t="str">
        <f aca="false">IF(D13="","",IF(AND(D13&gt;=0.2,D13&lt;=0.35),"On target — change nothing",IF(D13&lt;0.2,"Gaining too slowly — add 200 kcal to training days","Gaining too fast — cut 200 kcal from training days")))</f>
        <v/>
      </c>
    </row>
    <row r="14" customFormat="false" ht="15" hidden="false" customHeight="false" outlineLevel="0" collapsed="false">
      <c r="A14" s="19"/>
      <c r="B14" s="20"/>
      <c r="C14" s="16" t="str">
        <f aca="false">IF(B14="","",IFERROR(AVERAGEIFS($B$5:$B$504,$A$5:$A$504,"&gt;="&amp;A14-6,$A$5:$A$504,"&lt;="&amp;A14),""))</f>
        <v/>
      </c>
      <c r="D14" s="17" t="str">
        <f aca="false">IF(OR(C14="",COUNTIFS($A$5:$A$504,"&gt;="&amp;A14-13,$A$5:$A$504,"&lt;="&amp;A14-7)=0),"",C14-AVERAGEIFS($B$5:$B$504,$A$5:$A$504,"&gt;="&amp;A14-13,$A$5:$A$504,"&lt;="&amp;A14-7))</f>
        <v/>
      </c>
      <c r="E14" s="18" t="str">
        <f aca="false">IF(D14="","",IF(AND(D14&gt;=0.2,D14&lt;=0.35),"On target — change nothing",IF(D14&lt;0.2,"Gaining too slowly — add 200 kcal to training days","Gaining too fast — cut 200 kcal from training days")))</f>
        <v/>
      </c>
    </row>
    <row r="15" customFormat="false" ht="15" hidden="false" customHeight="false" outlineLevel="0" collapsed="false">
      <c r="A15" s="19"/>
      <c r="B15" s="20"/>
      <c r="C15" s="16" t="str">
        <f aca="false">IF(B15="","",IFERROR(AVERAGEIFS($B$5:$B$504,$A$5:$A$504,"&gt;="&amp;A15-6,$A$5:$A$504,"&lt;="&amp;A15),""))</f>
        <v/>
      </c>
      <c r="D15" s="17" t="str">
        <f aca="false">IF(OR(C15="",COUNTIFS($A$5:$A$504,"&gt;="&amp;A15-13,$A$5:$A$504,"&lt;="&amp;A15-7)=0),"",C15-AVERAGEIFS($B$5:$B$504,$A$5:$A$504,"&gt;="&amp;A15-13,$A$5:$A$504,"&lt;="&amp;A15-7))</f>
        <v/>
      </c>
      <c r="E15" s="18" t="str">
        <f aca="false">IF(D15="","",IF(AND(D15&gt;=0.2,D15&lt;=0.35),"On target — change nothing",IF(D15&lt;0.2,"Gaining too slowly — add 200 kcal to training days","Gaining too fast — cut 200 kcal from training days")))</f>
        <v/>
      </c>
    </row>
    <row r="16" customFormat="false" ht="15" hidden="false" customHeight="false" outlineLevel="0" collapsed="false">
      <c r="A16" s="19"/>
      <c r="B16" s="20"/>
      <c r="C16" s="16" t="str">
        <f aca="false">IF(B16="","",IFERROR(AVERAGEIFS($B$5:$B$504,$A$5:$A$504,"&gt;="&amp;A16-6,$A$5:$A$504,"&lt;="&amp;A16),""))</f>
        <v/>
      </c>
      <c r="D16" s="17" t="str">
        <f aca="false">IF(OR(C16="",COUNTIFS($A$5:$A$504,"&gt;="&amp;A16-13,$A$5:$A$504,"&lt;="&amp;A16-7)=0),"",C16-AVERAGEIFS($B$5:$B$504,$A$5:$A$504,"&gt;="&amp;A16-13,$A$5:$A$504,"&lt;="&amp;A16-7))</f>
        <v/>
      </c>
      <c r="E16" s="18" t="str">
        <f aca="false">IF(D16="","",IF(AND(D16&gt;=0.2,D16&lt;=0.35),"On target — change nothing",IF(D16&lt;0.2,"Gaining too slowly — add 200 kcal to training days","Gaining too fast — cut 200 kcal from training days")))</f>
        <v/>
      </c>
    </row>
    <row r="17" customFormat="false" ht="15" hidden="false" customHeight="false" outlineLevel="0" collapsed="false">
      <c r="A17" s="19"/>
      <c r="B17" s="20"/>
      <c r="C17" s="16" t="str">
        <f aca="false">IF(B17="","",IFERROR(AVERAGEIFS($B$5:$B$504,$A$5:$A$504,"&gt;="&amp;A17-6,$A$5:$A$504,"&lt;="&amp;A17),""))</f>
        <v/>
      </c>
      <c r="D17" s="17" t="str">
        <f aca="false">IF(OR(C17="",COUNTIFS($A$5:$A$504,"&gt;="&amp;A17-13,$A$5:$A$504,"&lt;="&amp;A17-7)=0),"",C17-AVERAGEIFS($B$5:$B$504,$A$5:$A$504,"&gt;="&amp;A17-13,$A$5:$A$504,"&lt;="&amp;A17-7))</f>
        <v/>
      </c>
      <c r="E17" s="18" t="str">
        <f aca="false">IF(D17="","",IF(AND(D17&gt;=0.2,D17&lt;=0.35),"On target — change nothing",IF(D17&lt;0.2,"Gaining too slowly — add 200 kcal to training days","Gaining too fast — cut 200 kcal from training days")))</f>
        <v/>
      </c>
    </row>
    <row r="18" customFormat="false" ht="15" hidden="false" customHeight="false" outlineLevel="0" collapsed="false">
      <c r="A18" s="19"/>
      <c r="B18" s="20"/>
      <c r="C18" s="16" t="str">
        <f aca="false">IF(B18="","",IFERROR(AVERAGEIFS($B$5:$B$504,$A$5:$A$504,"&gt;="&amp;A18-6,$A$5:$A$504,"&lt;="&amp;A18),""))</f>
        <v/>
      </c>
      <c r="D18" s="17" t="str">
        <f aca="false">IF(OR(C18="",COUNTIFS($A$5:$A$504,"&gt;="&amp;A18-13,$A$5:$A$504,"&lt;="&amp;A18-7)=0),"",C18-AVERAGEIFS($B$5:$B$504,$A$5:$A$504,"&gt;="&amp;A18-13,$A$5:$A$504,"&lt;="&amp;A18-7))</f>
        <v/>
      </c>
      <c r="E18" s="18" t="str">
        <f aca="false">IF(D18="","",IF(AND(D18&gt;=0.2,D18&lt;=0.35),"On target — change nothing",IF(D18&lt;0.2,"Gaining too slowly — add 200 kcal to training days","Gaining too fast — cut 200 kcal from training days")))</f>
        <v/>
      </c>
    </row>
    <row r="19" customFormat="false" ht="15" hidden="false" customHeight="false" outlineLevel="0" collapsed="false">
      <c r="A19" s="19"/>
      <c r="B19" s="20"/>
      <c r="C19" s="16" t="str">
        <f aca="false">IF(B19="","",IFERROR(AVERAGEIFS($B$5:$B$504,$A$5:$A$504,"&gt;="&amp;A19-6,$A$5:$A$504,"&lt;="&amp;A19),""))</f>
        <v/>
      </c>
      <c r="D19" s="17" t="str">
        <f aca="false">IF(OR(C19="",COUNTIFS($A$5:$A$504,"&gt;="&amp;A19-13,$A$5:$A$504,"&lt;="&amp;A19-7)=0),"",C19-AVERAGEIFS($B$5:$B$504,$A$5:$A$504,"&gt;="&amp;A19-13,$A$5:$A$504,"&lt;="&amp;A19-7))</f>
        <v/>
      </c>
      <c r="E19" s="18" t="str">
        <f aca="false">IF(D19="","",IF(AND(D19&gt;=0.2,D19&lt;=0.35),"On target — change nothing",IF(D19&lt;0.2,"Gaining too slowly — add 200 kcal to training days","Gaining too fast — cut 200 kcal from training days")))</f>
        <v/>
      </c>
    </row>
    <row r="20" customFormat="false" ht="15" hidden="false" customHeight="false" outlineLevel="0" collapsed="false">
      <c r="A20" s="19"/>
      <c r="B20" s="20"/>
      <c r="C20" s="16" t="str">
        <f aca="false">IF(B20="","",IFERROR(AVERAGEIFS($B$5:$B$504,$A$5:$A$504,"&gt;="&amp;A20-6,$A$5:$A$504,"&lt;="&amp;A20),""))</f>
        <v/>
      </c>
      <c r="D20" s="17" t="str">
        <f aca="false">IF(OR(C20="",COUNTIFS($A$5:$A$504,"&gt;="&amp;A20-13,$A$5:$A$504,"&lt;="&amp;A20-7)=0),"",C20-AVERAGEIFS($B$5:$B$504,$A$5:$A$504,"&gt;="&amp;A20-13,$A$5:$A$504,"&lt;="&amp;A20-7))</f>
        <v/>
      </c>
      <c r="E20" s="18" t="str">
        <f aca="false">IF(D20="","",IF(AND(D20&gt;=0.2,D20&lt;=0.35),"On target — change nothing",IF(D20&lt;0.2,"Gaining too slowly — add 200 kcal to training days","Gaining too fast — cut 200 kcal from training days")))</f>
        <v/>
      </c>
    </row>
    <row r="21" customFormat="false" ht="15" hidden="false" customHeight="false" outlineLevel="0" collapsed="false">
      <c r="A21" s="19"/>
      <c r="B21" s="20"/>
      <c r="C21" s="16" t="str">
        <f aca="false">IF(B21="","",IFERROR(AVERAGEIFS($B$5:$B$504,$A$5:$A$504,"&gt;="&amp;A21-6,$A$5:$A$504,"&lt;="&amp;A21),""))</f>
        <v/>
      </c>
      <c r="D21" s="17" t="str">
        <f aca="false">IF(OR(C21="",COUNTIFS($A$5:$A$504,"&gt;="&amp;A21-13,$A$5:$A$504,"&lt;="&amp;A21-7)=0),"",C21-AVERAGEIFS($B$5:$B$504,$A$5:$A$504,"&gt;="&amp;A21-13,$A$5:$A$504,"&lt;="&amp;A21-7))</f>
        <v/>
      </c>
      <c r="E21" s="18" t="str">
        <f aca="false">IF(D21="","",IF(AND(D21&gt;=0.2,D21&lt;=0.35),"On target — change nothing",IF(D21&lt;0.2,"Gaining too slowly — add 200 kcal to training days","Gaining too fast — cut 200 kcal from training days")))</f>
        <v/>
      </c>
    </row>
    <row r="22" customFormat="false" ht="15" hidden="false" customHeight="false" outlineLevel="0" collapsed="false">
      <c r="A22" s="19"/>
      <c r="B22" s="20"/>
      <c r="C22" s="16" t="str">
        <f aca="false">IF(B22="","",IFERROR(AVERAGEIFS($B$5:$B$504,$A$5:$A$504,"&gt;="&amp;A22-6,$A$5:$A$504,"&lt;="&amp;A22),""))</f>
        <v/>
      </c>
      <c r="D22" s="17" t="str">
        <f aca="false">IF(OR(C22="",COUNTIFS($A$5:$A$504,"&gt;="&amp;A22-13,$A$5:$A$504,"&lt;="&amp;A22-7)=0),"",C22-AVERAGEIFS($B$5:$B$504,$A$5:$A$504,"&gt;="&amp;A22-13,$A$5:$A$504,"&lt;="&amp;A22-7))</f>
        <v/>
      </c>
      <c r="E22" s="18" t="str">
        <f aca="false">IF(D22="","",IF(AND(D22&gt;=0.2,D22&lt;=0.35),"On target — change nothing",IF(D22&lt;0.2,"Gaining too slowly — add 200 kcal to training days","Gaining too fast — cut 200 kcal from training days")))</f>
        <v/>
      </c>
    </row>
    <row r="23" customFormat="false" ht="15" hidden="false" customHeight="false" outlineLevel="0" collapsed="false">
      <c r="A23" s="19"/>
      <c r="B23" s="20"/>
      <c r="C23" s="16" t="str">
        <f aca="false">IF(B23="","",IFERROR(AVERAGEIFS($B$5:$B$504,$A$5:$A$504,"&gt;="&amp;A23-6,$A$5:$A$504,"&lt;="&amp;A23),""))</f>
        <v/>
      </c>
      <c r="D23" s="17" t="str">
        <f aca="false">IF(OR(C23="",COUNTIFS($A$5:$A$504,"&gt;="&amp;A23-13,$A$5:$A$504,"&lt;="&amp;A23-7)=0),"",C23-AVERAGEIFS($B$5:$B$504,$A$5:$A$504,"&gt;="&amp;A23-13,$A$5:$A$504,"&lt;="&amp;A23-7))</f>
        <v/>
      </c>
      <c r="E23" s="18" t="str">
        <f aca="false">IF(D23="","",IF(AND(D23&gt;=0.2,D23&lt;=0.35),"On target — change nothing",IF(D23&lt;0.2,"Gaining too slowly — add 200 kcal to training days","Gaining too fast — cut 200 kcal from training days")))</f>
        <v/>
      </c>
    </row>
    <row r="24" customFormat="false" ht="15" hidden="false" customHeight="false" outlineLevel="0" collapsed="false">
      <c r="A24" s="19"/>
      <c r="B24" s="20"/>
      <c r="C24" s="16" t="str">
        <f aca="false">IF(B24="","",IFERROR(AVERAGEIFS($B$5:$B$504,$A$5:$A$504,"&gt;="&amp;A24-6,$A$5:$A$504,"&lt;="&amp;A24),""))</f>
        <v/>
      </c>
      <c r="D24" s="17" t="str">
        <f aca="false">IF(OR(C24="",COUNTIFS($A$5:$A$504,"&gt;="&amp;A24-13,$A$5:$A$504,"&lt;="&amp;A24-7)=0),"",C24-AVERAGEIFS($B$5:$B$504,$A$5:$A$504,"&gt;="&amp;A24-13,$A$5:$A$504,"&lt;="&amp;A24-7))</f>
        <v/>
      </c>
      <c r="E24" s="18" t="str">
        <f aca="false">IF(D24="","",IF(AND(D24&gt;=0.2,D24&lt;=0.35),"On target — change nothing",IF(D24&lt;0.2,"Gaining too slowly — add 200 kcal to training days","Gaining too fast — cut 200 kcal from training days")))</f>
        <v/>
      </c>
    </row>
    <row r="25" customFormat="false" ht="15" hidden="false" customHeight="false" outlineLevel="0" collapsed="false">
      <c r="A25" s="19"/>
      <c r="B25" s="20"/>
      <c r="C25" s="16" t="str">
        <f aca="false">IF(B25="","",IFERROR(AVERAGEIFS($B$5:$B$504,$A$5:$A$504,"&gt;="&amp;A25-6,$A$5:$A$504,"&lt;="&amp;A25),""))</f>
        <v/>
      </c>
      <c r="D25" s="17" t="str">
        <f aca="false">IF(OR(C25="",COUNTIFS($A$5:$A$504,"&gt;="&amp;A25-13,$A$5:$A$504,"&lt;="&amp;A25-7)=0),"",C25-AVERAGEIFS($B$5:$B$504,$A$5:$A$504,"&gt;="&amp;A25-13,$A$5:$A$504,"&lt;="&amp;A25-7))</f>
        <v/>
      </c>
      <c r="E25" s="18" t="str">
        <f aca="false">IF(D25="","",IF(AND(D25&gt;=0.2,D25&lt;=0.35),"On target — change nothing",IF(D25&lt;0.2,"Gaining too slowly — add 200 kcal to training days","Gaining too fast — cut 200 kcal from training days")))</f>
        <v/>
      </c>
    </row>
    <row r="26" customFormat="false" ht="15" hidden="false" customHeight="false" outlineLevel="0" collapsed="false">
      <c r="A26" s="19"/>
      <c r="B26" s="20"/>
      <c r="C26" s="16" t="str">
        <f aca="false">IF(B26="","",IFERROR(AVERAGEIFS($B$5:$B$504,$A$5:$A$504,"&gt;="&amp;A26-6,$A$5:$A$504,"&lt;="&amp;A26),""))</f>
        <v/>
      </c>
      <c r="D26" s="17" t="str">
        <f aca="false">IF(OR(C26="",COUNTIFS($A$5:$A$504,"&gt;="&amp;A26-13,$A$5:$A$504,"&lt;="&amp;A26-7)=0),"",C26-AVERAGEIFS($B$5:$B$504,$A$5:$A$504,"&gt;="&amp;A26-13,$A$5:$A$504,"&lt;="&amp;A26-7))</f>
        <v/>
      </c>
      <c r="E26" s="18" t="str">
        <f aca="false">IF(D26="","",IF(AND(D26&gt;=0.2,D26&lt;=0.35),"On target — change nothing",IF(D26&lt;0.2,"Gaining too slowly — add 200 kcal to training days","Gaining too fast — cut 200 kcal from training days")))</f>
        <v/>
      </c>
    </row>
    <row r="27" customFormat="false" ht="15" hidden="false" customHeight="false" outlineLevel="0" collapsed="false">
      <c r="A27" s="19"/>
      <c r="B27" s="20"/>
      <c r="C27" s="16" t="str">
        <f aca="false">IF(B27="","",IFERROR(AVERAGEIFS($B$5:$B$504,$A$5:$A$504,"&gt;="&amp;A27-6,$A$5:$A$504,"&lt;="&amp;A27),""))</f>
        <v/>
      </c>
      <c r="D27" s="17" t="str">
        <f aca="false">IF(OR(C27="",COUNTIFS($A$5:$A$504,"&gt;="&amp;A27-13,$A$5:$A$504,"&lt;="&amp;A27-7)=0),"",C27-AVERAGEIFS($B$5:$B$504,$A$5:$A$504,"&gt;="&amp;A27-13,$A$5:$A$504,"&lt;="&amp;A27-7))</f>
        <v/>
      </c>
      <c r="E27" s="18" t="str">
        <f aca="false">IF(D27="","",IF(AND(D27&gt;=0.2,D27&lt;=0.35),"On target — change nothing",IF(D27&lt;0.2,"Gaining too slowly — add 200 kcal to training days","Gaining too fast — cut 200 kcal from training days")))</f>
        <v/>
      </c>
    </row>
    <row r="28" customFormat="false" ht="15" hidden="false" customHeight="false" outlineLevel="0" collapsed="false">
      <c r="A28" s="19"/>
      <c r="B28" s="20"/>
      <c r="C28" s="16" t="str">
        <f aca="false">IF(B28="","",IFERROR(AVERAGEIFS($B$5:$B$504,$A$5:$A$504,"&gt;="&amp;A28-6,$A$5:$A$504,"&lt;="&amp;A28),""))</f>
        <v/>
      </c>
      <c r="D28" s="17" t="str">
        <f aca="false">IF(OR(C28="",COUNTIFS($A$5:$A$504,"&gt;="&amp;A28-13,$A$5:$A$504,"&lt;="&amp;A28-7)=0),"",C28-AVERAGEIFS($B$5:$B$504,$A$5:$A$504,"&gt;="&amp;A28-13,$A$5:$A$504,"&lt;="&amp;A28-7))</f>
        <v/>
      </c>
      <c r="E28" s="18" t="str">
        <f aca="false">IF(D28="","",IF(AND(D28&gt;=0.2,D28&lt;=0.35),"On target — change nothing",IF(D28&lt;0.2,"Gaining too slowly — add 200 kcal to training days","Gaining too fast — cut 200 kcal from training days")))</f>
        <v/>
      </c>
    </row>
    <row r="29" customFormat="false" ht="15" hidden="false" customHeight="false" outlineLevel="0" collapsed="false">
      <c r="A29" s="19"/>
      <c r="B29" s="20"/>
      <c r="C29" s="16" t="str">
        <f aca="false">IF(B29="","",IFERROR(AVERAGEIFS($B$5:$B$504,$A$5:$A$504,"&gt;="&amp;A29-6,$A$5:$A$504,"&lt;="&amp;A29),""))</f>
        <v/>
      </c>
      <c r="D29" s="17" t="str">
        <f aca="false">IF(OR(C29="",COUNTIFS($A$5:$A$504,"&gt;="&amp;A29-13,$A$5:$A$504,"&lt;="&amp;A29-7)=0),"",C29-AVERAGEIFS($B$5:$B$504,$A$5:$A$504,"&gt;="&amp;A29-13,$A$5:$A$504,"&lt;="&amp;A29-7))</f>
        <v/>
      </c>
      <c r="E29" s="18" t="str">
        <f aca="false">IF(D29="","",IF(AND(D29&gt;=0.2,D29&lt;=0.35),"On target — change nothing",IF(D29&lt;0.2,"Gaining too slowly — add 200 kcal to training days","Gaining too fast — cut 200 kcal from training days")))</f>
        <v/>
      </c>
    </row>
    <row r="30" customFormat="false" ht="15" hidden="false" customHeight="false" outlineLevel="0" collapsed="false">
      <c r="A30" s="19"/>
      <c r="B30" s="20"/>
      <c r="C30" s="16" t="str">
        <f aca="false">IF(B30="","",IFERROR(AVERAGEIFS($B$5:$B$504,$A$5:$A$504,"&gt;="&amp;A30-6,$A$5:$A$504,"&lt;="&amp;A30),""))</f>
        <v/>
      </c>
      <c r="D30" s="17" t="str">
        <f aca="false">IF(OR(C30="",COUNTIFS($A$5:$A$504,"&gt;="&amp;A30-13,$A$5:$A$504,"&lt;="&amp;A30-7)=0),"",C30-AVERAGEIFS($B$5:$B$504,$A$5:$A$504,"&gt;="&amp;A30-13,$A$5:$A$504,"&lt;="&amp;A30-7))</f>
        <v/>
      </c>
      <c r="E30" s="18" t="str">
        <f aca="false">IF(D30="","",IF(AND(D30&gt;=0.2,D30&lt;=0.35),"On target — change nothing",IF(D30&lt;0.2,"Gaining too slowly — add 200 kcal to training days","Gaining too fast — cut 200 kcal from training days")))</f>
        <v/>
      </c>
    </row>
    <row r="31" customFormat="false" ht="15" hidden="false" customHeight="false" outlineLevel="0" collapsed="false">
      <c r="A31" s="19"/>
      <c r="B31" s="20"/>
      <c r="C31" s="16" t="str">
        <f aca="false">IF(B31="","",IFERROR(AVERAGEIFS($B$5:$B$504,$A$5:$A$504,"&gt;="&amp;A31-6,$A$5:$A$504,"&lt;="&amp;A31),""))</f>
        <v/>
      </c>
      <c r="D31" s="17" t="str">
        <f aca="false">IF(OR(C31="",COUNTIFS($A$5:$A$504,"&gt;="&amp;A31-13,$A$5:$A$504,"&lt;="&amp;A31-7)=0),"",C31-AVERAGEIFS($B$5:$B$504,$A$5:$A$504,"&gt;="&amp;A31-13,$A$5:$A$504,"&lt;="&amp;A31-7))</f>
        <v/>
      </c>
      <c r="E31" s="18" t="str">
        <f aca="false">IF(D31="","",IF(AND(D31&gt;=0.2,D31&lt;=0.35),"On target — change nothing",IF(D31&lt;0.2,"Gaining too slowly — add 200 kcal to training days","Gaining too fast — cut 200 kcal from training days")))</f>
        <v/>
      </c>
    </row>
    <row r="32" customFormat="false" ht="15" hidden="false" customHeight="false" outlineLevel="0" collapsed="false">
      <c r="A32" s="19"/>
      <c r="B32" s="20"/>
      <c r="C32" s="16" t="str">
        <f aca="false">IF(B32="","",IFERROR(AVERAGEIFS($B$5:$B$504,$A$5:$A$504,"&gt;="&amp;A32-6,$A$5:$A$504,"&lt;="&amp;A32),""))</f>
        <v/>
      </c>
      <c r="D32" s="17" t="str">
        <f aca="false">IF(OR(C32="",COUNTIFS($A$5:$A$504,"&gt;="&amp;A32-13,$A$5:$A$504,"&lt;="&amp;A32-7)=0),"",C32-AVERAGEIFS($B$5:$B$504,$A$5:$A$504,"&gt;="&amp;A32-13,$A$5:$A$504,"&lt;="&amp;A32-7))</f>
        <v/>
      </c>
      <c r="E32" s="18" t="str">
        <f aca="false">IF(D32="","",IF(AND(D32&gt;=0.2,D32&lt;=0.35),"On target — change nothing",IF(D32&lt;0.2,"Gaining too slowly — add 200 kcal to training days","Gaining too fast — cut 200 kcal from training days")))</f>
        <v/>
      </c>
    </row>
    <row r="33" customFormat="false" ht="15" hidden="false" customHeight="false" outlineLevel="0" collapsed="false">
      <c r="A33" s="19"/>
      <c r="B33" s="20"/>
      <c r="C33" s="16" t="str">
        <f aca="false">IF(B33="","",IFERROR(AVERAGEIFS($B$5:$B$504,$A$5:$A$504,"&gt;="&amp;A33-6,$A$5:$A$504,"&lt;="&amp;A33),""))</f>
        <v/>
      </c>
      <c r="D33" s="17" t="str">
        <f aca="false">IF(OR(C33="",COUNTIFS($A$5:$A$504,"&gt;="&amp;A33-13,$A$5:$A$504,"&lt;="&amp;A33-7)=0),"",C33-AVERAGEIFS($B$5:$B$504,$A$5:$A$504,"&gt;="&amp;A33-13,$A$5:$A$504,"&lt;="&amp;A33-7))</f>
        <v/>
      </c>
      <c r="E33" s="18" t="str">
        <f aca="false">IF(D33="","",IF(AND(D33&gt;=0.2,D33&lt;=0.35),"On target — change nothing",IF(D33&lt;0.2,"Gaining too slowly — add 200 kcal to training days","Gaining too fast — cut 200 kcal from training days")))</f>
        <v/>
      </c>
    </row>
    <row r="34" customFormat="false" ht="15" hidden="false" customHeight="false" outlineLevel="0" collapsed="false">
      <c r="A34" s="19"/>
      <c r="B34" s="20"/>
      <c r="C34" s="16" t="str">
        <f aca="false">IF(B34="","",IFERROR(AVERAGEIFS($B$5:$B$504,$A$5:$A$504,"&gt;="&amp;A34-6,$A$5:$A$504,"&lt;="&amp;A34),""))</f>
        <v/>
      </c>
      <c r="D34" s="17" t="str">
        <f aca="false">IF(OR(C34="",COUNTIFS($A$5:$A$504,"&gt;="&amp;A34-13,$A$5:$A$504,"&lt;="&amp;A34-7)=0),"",C34-AVERAGEIFS($B$5:$B$504,$A$5:$A$504,"&gt;="&amp;A34-13,$A$5:$A$504,"&lt;="&amp;A34-7))</f>
        <v/>
      </c>
      <c r="E34" s="18" t="str">
        <f aca="false">IF(D34="","",IF(AND(D34&gt;=0.2,D34&lt;=0.35),"On target — change nothing",IF(D34&lt;0.2,"Gaining too slowly — add 200 kcal to training days","Gaining too fast — cut 200 kcal from training days")))</f>
        <v/>
      </c>
    </row>
    <row r="35" customFormat="false" ht="15" hidden="false" customHeight="false" outlineLevel="0" collapsed="false">
      <c r="A35" s="19"/>
      <c r="B35" s="20"/>
      <c r="C35" s="16" t="str">
        <f aca="false">IF(B35="","",IFERROR(AVERAGEIFS($B$5:$B$504,$A$5:$A$504,"&gt;="&amp;A35-6,$A$5:$A$504,"&lt;="&amp;A35),""))</f>
        <v/>
      </c>
      <c r="D35" s="17" t="str">
        <f aca="false">IF(OR(C35="",COUNTIFS($A$5:$A$504,"&gt;="&amp;A35-13,$A$5:$A$504,"&lt;="&amp;A35-7)=0),"",C35-AVERAGEIFS($B$5:$B$504,$A$5:$A$504,"&gt;="&amp;A35-13,$A$5:$A$504,"&lt;="&amp;A35-7))</f>
        <v/>
      </c>
      <c r="E35" s="18" t="str">
        <f aca="false">IF(D35="","",IF(AND(D35&gt;=0.2,D35&lt;=0.35),"On target — change nothing",IF(D35&lt;0.2,"Gaining too slowly — add 200 kcal to training days","Gaining too fast — cut 200 kcal from training days")))</f>
        <v/>
      </c>
    </row>
    <row r="36" customFormat="false" ht="15" hidden="false" customHeight="false" outlineLevel="0" collapsed="false">
      <c r="A36" s="19"/>
      <c r="B36" s="20"/>
      <c r="C36" s="16" t="str">
        <f aca="false">IF(B36="","",IFERROR(AVERAGEIFS($B$5:$B$504,$A$5:$A$504,"&gt;="&amp;A36-6,$A$5:$A$504,"&lt;="&amp;A36),""))</f>
        <v/>
      </c>
      <c r="D36" s="17" t="str">
        <f aca="false">IF(OR(C36="",COUNTIFS($A$5:$A$504,"&gt;="&amp;A36-13,$A$5:$A$504,"&lt;="&amp;A36-7)=0),"",C36-AVERAGEIFS($B$5:$B$504,$A$5:$A$504,"&gt;="&amp;A36-13,$A$5:$A$504,"&lt;="&amp;A36-7))</f>
        <v/>
      </c>
      <c r="E36" s="18" t="str">
        <f aca="false">IF(D36="","",IF(AND(D36&gt;=0.2,D36&lt;=0.35),"On target — change nothing",IF(D36&lt;0.2,"Gaining too slowly — add 200 kcal to training days","Gaining too fast — cut 200 kcal from training days")))</f>
        <v/>
      </c>
    </row>
    <row r="37" customFormat="false" ht="15" hidden="false" customHeight="false" outlineLevel="0" collapsed="false">
      <c r="A37" s="19"/>
      <c r="B37" s="20"/>
      <c r="C37" s="16" t="str">
        <f aca="false">IF(B37="","",IFERROR(AVERAGEIFS($B$5:$B$504,$A$5:$A$504,"&gt;="&amp;A37-6,$A$5:$A$504,"&lt;="&amp;A37),""))</f>
        <v/>
      </c>
      <c r="D37" s="17" t="str">
        <f aca="false">IF(OR(C37="",COUNTIFS($A$5:$A$504,"&gt;="&amp;A37-13,$A$5:$A$504,"&lt;="&amp;A37-7)=0),"",C37-AVERAGEIFS($B$5:$B$504,$A$5:$A$504,"&gt;="&amp;A37-13,$A$5:$A$504,"&lt;="&amp;A37-7))</f>
        <v/>
      </c>
      <c r="E37" s="18" t="str">
        <f aca="false">IF(D37="","",IF(AND(D37&gt;=0.2,D37&lt;=0.35),"On target — change nothing",IF(D37&lt;0.2,"Gaining too slowly — add 200 kcal to training days","Gaining too fast — cut 200 kcal from training days")))</f>
        <v/>
      </c>
    </row>
    <row r="38" customFormat="false" ht="15" hidden="false" customHeight="false" outlineLevel="0" collapsed="false">
      <c r="A38" s="19"/>
      <c r="B38" s="20"/>
      <c r="C38" s="16" t="str">
        <f aca="false">IF(B38="","",IFERROR(AVERAGEIFS($B$5:$B$504,$A$5:$A$504,"&gt;="&amp;A38-6,$A$5:$A$504,"&lt;="&amp;A38),""))</f>
        <v/>
      </c>
      <c r="D38" s="17" t="str">
        <f aca="false">IF(OR(C38="",COUNTIFS($A$5:$A$504,"&gt;="&amp;A38-13,$A$5:$A$504,"&lt;="&amp;A38-7)=0),"",C38-AVERAGEIFS($B$5:$B$504,$A$5:$A$504,"&gt;="&amp;A38-13,$A$5:$A$504,"&lt;="&amp;A38-7))</f>
        <v/>
      </c>
      <c r="E38" s="18" t="str">
        <f aca="false">IF(D38="","",IF(AND(D38&gt;=0.2,D38&lt;=0.35),"On target — change nothing",IF(D38&lt;0.2,"Gaining too slowly — add 200 kcal to training days","Gaining too fast — cut 200 kcal from training days")))</f>
        <v/>
      </c>
    </row>
    <row r="39" customFormat="false" ht="15" hidden="false" customHeight="false" outlineLevel="0" collapsed="false">
      <c r="A39" s="19"/>
      <c r="B39" s="20"/>
      <c r="C39" s="16" t="str">
        <f aca="false">IF(B39="","",IFERROR(AVERAGEIFS($B$5:$B$504,$A$5:$A$504,"&gt;="&amp;A39-6,$A$5:$A$504,"&lt;="&amp;A39),""))</f>
        <v/>
      </c>
      <c r="D39" s="17" t="str">
        <f aca="false">IF(OR(C39="",COUNTIFS($A$5:$A$504,"&gt;="&amp;A39-13,$A$5:$A$504,"&lt;="&amp;A39-7)=0),"",C39-AVERAGEIFS($B$5:$B$504,$A$5:$A$504,"&gt;="&amp;A39-13,$A$5:$A$504,"&lt;="&amp;A39-7))</f>
        <v/>
      </c>
      <c r="E39" s="18" t="str">
        <f aca="false">IF(D39="","",IF(AND(D39&gt;=0.2,D39&lt;=0.35),"On target — change nothing",IF(D39&lt;0.2,"Gaining too slowly — add 200 kcal to training days","Gaining too fast — cut 200 kcal from training days")))</f>
        <v/>
      </c>
    </row>
    <row r="40" customFormat="false" ht="15" hidden="false" customHeight="false" outlineLevel="0" collapsed="false">
      <c r="A40" s="19"/>
      <c r="B40" s="20"/>
      <c r="C40" s="16" t="str">
        <f aca="false">IF(B40="","",IFERROR(AVERAGEIFS($B$5:$B$504,$A$5:$A$504,"&gt;="&amp;A40-6,$A$5:$A$504,"&lt;="&amp;A40),""))</f>
        <v/>
      </c>
      <c r="D40" s="17" t="str">
        <f aca="false">IF(OR(C40="",COUNTIFS($A$5:$A$504,"&gt;="&amp;A40-13,$A$5:$A$504,"&lt;="&amp;A40-7)=0),"",C40-AVERAGEIFS($B$5:$B$504,$A$5:$A$504,"&gt;="&amp;A40-13,$A$5:$A$504,"&lt;="&amp;A40-7))</f>
        <v/>
      </c>
      <c r="E40" s="18" t="str">
        <f aca="false">IF(D40="","",IF(AND(D40&gt;=0.2,D40&lt;=0.35),"On target — change nothing",IF(D40&lt;0.2,"Gaining too slowly — add 200 kcal to training days","Gaining too fast — cut 200 kcal from training days")))</f>
        <v/>
      </c>
    </row>
    <row r="41" customFormat="false" ht="15" hidden="false" customHeight="false" outlineLevel="0" collapsed="false">
      <c r="A41" s="19"/>
      <c r="B41" s="20"/>
      <c r="C41" s="16" t="str">
        <f aca="false">IF(B41="","",IFERROR(AVERAGEIFS($B$5:$B$504,$A$5:$A$504,"&gt;="&amp;A41-6,$A$5:$A$504,"&lt;="&amp;A41),""))</f>
        <v/>
      </c>
      <c r="D41" s="17" t="str">
        <f aca="false">IF(OR(C41="",COUNTIFS($A$5:$A$504,"&gt;="&amp;A41-13,$A$5:$A$504,"&lt;="&amp;A41-7)=0),"",C41-AVERAGEIFS($B$5:$B$504,$A$5:$A$504,"&gt;="&amp;A41-13,$A$5:$A$504,"&lt;="&amp;A41-7))</f>
        <v/>
      </c>
      <c r="E41" s="18" t="str">
        <f aca="false">IF(D41="","",IF(AND(D41&gt;=0.2,D41&lt;=0.35),"On target — change nothing",IF(D41&lt;0.2,"Gaining too slowly — add 200 kcal to training days","Gaining too fast — cut 200 kcal from training days")))</f>
        <v/>
      </c>
    </row>
    <row r="42" customFormat="false" ht="15" hidden="false" customHeight="false" outlineLevel="0" collapsed="false">
      <c r="A42" s="19"/>
      <c r="B42" s="20"/>
      <c r="C42" s="16" t="str">
        <f aca="false">IF(B42="","",IFERROR(AVERAGEIFS($B$5:$B$504,$A$5:$A$504,"&gt;="&amp;A42-6,$A$5:$A$504,"&lt;="&amp;A42),""))</f>
        <v/>
      </c>
      <c r="D42" s="17" t="str">
        <f aca="false">IF(OR(C42="",COUNTIFS($A$5:$A$504,"&gt;="&amp;A42-13,$A$5:$A$504,"&lt;="&amp;A42-7)=0),"",C42-AVERAGEIFS($B$5:$B$504,$A$5:$A$504,"&gt;="&amp;A42-13,$A$5:$A$504,"&lt;="&amp;A42-7))</f>
        <v/>
      </c>
      <c r="E42" s="18" t="str">
        <f aca="false">IF(D42="","",IF(AND(D42&gt;=0.2,D42&lt;=0.35),"On target — change nothing",IF(D42&lt;0.2,"Gaining too slowly — add 200 kcal to training days","Gaining too fast — cut 200 kcal from training days")))</f>
        <v/>
      </c>
    </row>
    <row r="43" customFormat="false" ht="15" hidden="false" customHeight="false" outlineLevel="0" collapsed="false">
      <c r="A43" s="19"/>
      <c r="B43" s="20"/>
      <c r="C43" s="16" t="str">
        <f aca="false">IF(B43="","",IFERROR(AVERAGEIFS($B$5:$B$504,$A$5:$A$504,"&gt;="&amp;A43-6,$A$5:$A$504,"&lt;="&amp;A43),""))</f>
        <v/>
      </c>
      <c r="D43" s="17" t="str">
        <f aca="false">IF(OR(C43="",COUNTIFS($A$5:$A$504,"&gt;="&amp;A43-13,$A$5:$A$504,"&lt;="&amp;A43-7)=0),"",C43-AVERAGEIFS($B$5:$B$504,$A$5:$A$504,"&gt;="&amp;A43-13,$A$5:$A$504,"&lt;="&amp;A43-7))</f>
        <v/>
      </c>
      <c r="E43" s="18" t="str">
        <f aca="false">IF(D43="","",IF(AND(D43&gt;=0.2,D43&lt;=0.35),"On target — change nothing",IF(D43&lt;0.2,"Gaining too slowly — add 200 kcal to training days","Gaining too fast — cut 200 kcal from training days")))</f>
        <v/>
      </c>
    </row>
    <row r="44" customFormat="false" ht="15" hidden="false" customHeight="false" outlineLevel="0" collapsed="false">
      <c r="A44" s="19"/>
      <c r="B44" s="20"/>
      <c r="C44" s="16" t="str">
        <f aca="false">IF(B44="","",IFERROR(AVERAGEIFS($B$5:$B$504,$A$5:$A$504,"&gt;="&amp;A44-6,$A$5:$A$504,"&lt;="&amp;A44),""))</f>
        <v/>
      </c>
      <c r="D44" s="17" t="str">
        <f aca="false">IF(OR(C44="",COUNTIFS($A$5:$A$504,"&gt;="&amp;A44-13,$A$5:$A$504,"&lt;="&amp;A44-7)=0),"",C44-AVERAGEIFS($B$5:$B$504,$A$5:$A$504,"&gt;="&amp;A44-13,$A$5:$A$504,"&lt;="&amp;A44-7))</f>
        <v/>
      </c>
      <c r="E44" s="18" t="str">
        <f aca="false">IF(D44="","",IF(AND(D44&gt;=0.2,D44&lt;=0.35),"On target — change nothing",IF(D44&lt;0.2,"Gaining too slowly — add 200 kcal to training days","Gaining too fast — cut 200 kcal from training days")))</f>
        <v/>
      </c>
    </row>
    <row r="45" customFormat="false" ht="15" hidden="false" customHeight="false" outlineLevel="0" collapsed="false">
      <c r="A45" s="19"/>
      <c r="B45" s="20"/>
      <c r="C45" s="16" t="str">
        <f aca="false">IF(B45="","",IFERROR(AVERAGEIFS($B$5:$B$504,$A$5:$A$504,"&gt;="&amp;A45-6,$A$5:$A$504,"&lt;="&amp;A45),""))</f>
        <v/>
      </c>
      <c r="D45" s="17" t="str">
        <f aca="false">IF(OR(C45="",COUNTIFS($A$5:$A$504,"&gt;="&amp;A45-13,$A$5:$A$504,"&lt;="&amp;A45-7)=0),"",C45-AVERAGEIFS($B$5:$B$504,$A$5:$A$504,"&gt;="&amp;A45-13,$A$5:$A$504,"&lt;="&amp;A45-7))</f>
        <v/>
      </c>
      <c r="E45" s="18" t="str">
        <f aca="false">IF(D45="","",IF(AND(D45&gt;=0.2,D45&lt;=0.35),"On target — change nothing",IF(D45&lt;0.2,"Gaining too slowly — add 200 kcal to training days","Gaining too fast — cut 200 kcal from training days")))</f>
        <v/>
      </c>
    </row>
    <row r="46" customFormat="false" ht="15" hidden="false" customHeight="false" outlineLevel="0" collapsed="false">
      <c r="A46" s="19"/>
      <c r="B46" s="20"/>
      <c r="C46" s="16" t="str">
        <f aca="false">IF(B46="","",IFERROR(AVERAGEIFS($B$5:$B$504,$A$5:$A$504,"&gt;="&amp;A46-6,$A$5:$A$504,"&lt;="&amp;A46),""))</f>
        <v/>
      </c>
      <c r="D46" s="17" t="str">
        <f aca="false">IF(OR(C46="",COUNTIFS($A$5:$A$504,"&gt;="&amp;A46-13,$A$5:$A$504,"&lt;="&amp;A46-7)=0),"",C46-AVERAGEIFS($B$5:$B$504,$A$5:$A$504,"&gt;="&amp;A46-13,$A$5:$A$504,"&lt;="&amp;A46-7))</f>
        <v/>
      </c>
      <c r="E46" s="18" t="str">
        <f aca="false">IF(D46="","",IF(AND(D46&gt;=0.2,D46&lt;=0.35),"On target — change nothing",IF(D46&lt;0.2,"Gaining too slowly — add 200 kcal to training days","Gaining too fast — cut 200 kcal from training days")))</f>
        <v/>
      </c>
    </row>
    <row r="47" customFormat="false" ht="15" hidden="false" customHeight="false" outlineLevel="0" collapsed="false">
      <c r="A47" s="19"/>
      <c r="B47" s="20"/>
      <c r="C47" s="16" t="str">
        <f aca="false">IF(B47="","",IFERROR(AVERAGEIFS($B$5:$B$504,$A$5:$A$504,"&gt;="&amp;A47-6,$A$5:$A$504,"&lt;="&amp;A47),""))</f>
        <v/>
      </c>
      <c r="D47" s="17" t="str">
        <f aca="false">IF(OR(C47="",COUNTIFS($A$5:$A$504,"&gt;="&amp;A47-13,$A$5:$A$504,"&lt;="&amp;A47-7)=0),"",C47-AVERAGEIFS($B$5:$B$504,$A$5:$A$504,"&gt;="&amp;A47-13,$A$5:$A$504,"&lt;="&amp;A47-7))</f>
        <v/>
      </c>
      <c r="E47" s="18" t="str">
        <f aca="false">IF(D47="","",IF(AND(D47&gt;=0.2,D47&lt;=0.35),"On target — change nothing",IF(D47&lt;0.2,"Gaining too slowly — add 200 kcal to training days","Gaining too fast — cut 200 kcal from training days")))</f>
        <v/>
      </c>
    </row>
    <row r="48" customFormat="false" ht="15" hidden="false" customHeight="false" outlineLevel="0" collapsed="false">
      <c r="A48" s="19"/>
      <c r="B48" s="20"/>
      <c r="C48" s="16" t="str">
        <f aca="false">IF(B48="","",IFERROR(AVERAGEIFS($B$5:$B$504,$A$5:$A$504,"&gt;="&amp;A48-6,$A$5:$A$504,"&lt;="&amp;A48),""))</f>
        <v/>
      </c>
      <c r="D48" s="17" t="str">
        <f aca="false">IF(OR(C48="",COUNTIFS($A$5:$A$504,"&gt;="&amp;A48-13,$A$5:$A$504,"&lt;="&amp;A48-7)=0),"",C48-AVERAGEIFS($B$5:$B$504,$A$5:$A$504,"&gt;="&amp;A48-13,$A$5:$A$504,"&lt;="&amp;A48-7))</f>
        <v/>
      </c>
      <c r="E48" s="18" t="str">
        <f aca="false">IF(D48="","",IF(AND(D48&gt;=0.2,D48&lt;=0.35),"On target — change nothing",IF(D48&lt;0.2,"Gaining too slowly — add 200 kcal to training days","Gaining too fast — cut 200 kcal from training days")))</f>
        <v/>
      </c>
    </row>
    <row r="49" customFormat="false" ht="15" hidden="false" customHeight="false" outlineLevel="0" collapsed="false">
      <c r="A49" s="19"/>
      <c r="B49" s="20"/>
      <c r="C49" s="16" t="str">
        <f aca="false">IF(B49="","",IFERROR(AVERAGEIFS($B$5:$B$504,$A$5:$A$504,"&gt;="&amp;A49-6,$A$5:$A$504,"&lt;="&amp;A49),""))</f>
        <v/>
      </c>
      <c r="D49" s="17" t="str">
        <f aca="false">IF(OR(C49="",COUNTIFS($A$5:$A$504,"&gt;="&amp;A49-13,$A$5:$A$504,"&lt;="&amp;A49-7)=0),"",C49-AVERAGEIFS($B$5:$B$504,$A$5:$A$504,"&gt;="&amp;A49-13,$A$5:$A$504,"&lt;="&amp;A49-7))</f>
        <v/>
      </c>
      <c r="E49" s="18" t="str">
        <f aca="false">IF(D49="","",IF(AND(D49&gt;=0.2,D49&lt;=0.35),"On target — change nothing",IF(D49&lt;0.2,"Gaining too slowly — add 200 kcal to training days","Gaining too fast — cut 200 kcal from training days")))</f>
        <v/>
      </c>
    </row>
    <row r="50" customFormat="false" ht="15" hidden="false" customHeight="false" outlineLevel="0" collapsed="false">
      <c r="A50" s="19"/>
      <c r="B50" s="20"/>
      <c r="C50" s="16" t="str">
        <f aca="false">IF(B50="","",IFERROR(AVERAGEIFS($B$5:$B$504,$A$5:$A$504,"&gt;="&amp;A50-6,$A$5:$A$504,"&lt;="&amp;A50),""))</f>
        <v/>
      </c>
      <c r="D50" s="17" t="str">
        <f aca="false">IF(OR(C50="",COUNTIFS($A$5:$A$504,"&gt;="&amp;A50-13,$A$5:$A$504,"&lt;="&amp;A50-7)=0),"",C50-AVERAGEIFS($B$5:$B$504,$A$5:$A$504,"&gt;="&amp;A50-13,$A$5:$A$504,"&lt;="&amp;A50-7))</f>
        <v/>
      </c>
      <c r="E50" s="18" t="str">
        <f aca="false">IF(D50="","",IF(AND(D50&gt;=0.2,D50&lt;=0.35),"On target — change nothing",IF(D50&lt;0.2,"Gaining too slowly — add 200 kcal to training days","Gaining too fast — cut 200 kcal from training days")))</f>
        <v/>
      </c>
    </row>
    <row r="51" customFormat="false" ht="15" hidden="false" customHeight="false" outlineLevel="0" collapsed="false">
      <c r="A51" s="19"/>
      <c r="B51" s="20"/>
      <c r="C51" s="16" t="str">
        <f aca="false">IF(B51="","",IFERROR(AVERAGEIFS($B$5:$B$504,$A$5:$A$504,"&gt;="&amp;A51-6,$A$5:$A$504,"&lt;="&amp;A51),""))</f>
        <v/>
      </c>
      <c r="D51" s="17" t="str">
        <f aca="false">IF(OR(C51="",COUNTIFS($A$5:$A$504,"&gt;="&amp;A51-13,$A$5:$A$504,"&lt;="&amp;A51-7)=0),"",C51-AVERAGEIFS($B$5:$B$504,$A$5:$A$504,"&gt;="&amp;A51-13,$A$5:$A$504,"&lt;="&amp;A51-7))</f>
        <v/>
      </c>
      <c r="E51" s="18" t="str">
        <f aca="false">IF(D51="","",IF(AND(D51&gt;=0.2,D51&lt;=0.35),"On target — change nothing",IF(D51&lt;0.2,"Gaining too slowly — add 200 kcal to training days","Gaining too fast — cut 200 kcal from training days")))</f>
        <v/>
      </c>
    </row>
    <row r="52" customFormat="false" ht="15" hidden="false" customHeight="false" outlineLevel="0" collapsed="false">
      <c r="A52" s="19"/>
      <c r="B52" s="20"/>
      <c r="C52" s="16" t="str">
        <f aca="false">IF(B52="","",IFERROR(AVERAGEIFS($B$5:$B$504,$A$5:$A$504,"&gt;="&amp;A52-6,$A$5:$A$504,"&lt;="&amp;A52),""))</f>
        <v/>
      </c>
      <c r="D52" s="17" t="str">
        <f aca="false">IF(OR(C52="",COUNTIFS($A$5:$A$504,"&gt;="&amp;A52-13,$A$5:$A$504,"&lt;="&amp;A52-7)=0),"",C52-AVERAGEIFS($B$5:$B$504,$A$5:$A$504,"&gt;="&amp;A52-13,$A$5:$A$504,"&lt;="&amp;A52-7))</f>
        <v/>
      </c>
      <c r="E52" s="18" t="str">
        <f aca="false">IF(D52="","",IF(AND(D52&gt;=0.2,D52&lt;=0.35),"On target — change nothing",IF(D52&lt;0.2,"Gaining too slowly — add 200 kcal to training days","Gaining too fast — cut 200 kcal from training days")))</f>
        <v/>
      </c>
    </row>
    <row r="53" customFormat="false" ht="15" hidden="false" customHeight="false" outlineLevel="0" collapsed="false">
      <c r="A53" s="19"/>
      <c r="B53" s="20"/>
      <c r="C53" s="16" t="str">
        <f aca="false">IF(B53="","",IFERROR(AVERAGEIFS($B$5:$B$504,$A$5:$A$504,"&gt;="&amp;A53-6,$A$5:$A$504,"&lt;="&amp;A53),""))</f>
        <v/>
      </c>
      <c r="D53" s="17" t="str">
        <f aca="false">IF(OR(C53="",COUNTIFS($A$5:$A$504,"&gt;="&amp;A53-13,$A$5:$A$504,"&lt;="&amp;A53-7)=0),"",C53-AVERAGEIFS($B$5:$B$504,$A$5:$A$504,"&gt;="&amp;A53-13,$A$5:$A$504,"&lt;="&amp;A53-7))</f>
        <v/>
      </c>
      <c r="E53" s="18" t="str">
        <f aca="false">IF(D53="","",IF(AND(D53&gt;=0.2,D53&lt;=0.35),"On target — change nothing",IF(D53&lt;0.2,"Gaining too slowly — add 200 kcal to training days","Gaining too fast — cut 200 kcal from training days")))</f>
        <v/>
      </c>
    </row>
    <row r="54" customFormat="false" ht="15" hidden="false" customHeight="false" outlineLevel="0" collapsed="false">
      <c r="A54" s="19"/>
      <c r="B54" s="20"/>
      <c r="C54" s="16" t="str">
        <f aca="false">IF(B54="","",IFERROR(AVERAGEIFS($B$5:$B$504,$A$5:$A$504,"&gt;="&amp;A54-6,$A$5:$A$504,"&lt;="&amp;A54),""))</f>
        <v/>
      </c>
      <c r="D54" s="17" t="str">
        <f aca="false">IF(OR(C54="",COUNTIFS($A$5:$A$504,"&gt;="&amp;A54-13,$A$5:$A$504,"&lt;="&amp;A54-7)=0),"",C54-AVERAGEIFS($B$5:$B$504,$A$5:$A$504,"&gt;="&amp;A54-13,$A$5:$A$504,"&lt;="&amp;A54-7))</f>
        <v/>
      </c>
      <c r="E54" s="18" t="str">
        <f aca="false">IF(D54="","",IF(AND(D54&gt;=0.2,D54&lt;=0.35),"On target — change nothing",IF(D54&lt;0.2,"Gaining too slowly — add 200 kcal to training days","Gaining too fast — cut 200 kcal from training days")))</f>
        <v/>
      </c>
    </row>
    <row r="55" customFormat="false" ht="15" hidden="false" customHeight="false" outlineLevel="0" collapsed="false">
      <c r="A55" s="19"/>
      <c r="B55" s="20"/>
      <c r="C55" s="16" t="str">
        <f aca="false">IF(B55="","",IFERROR(AVERAGEIFS($B$5:$B$504,$A$5:$A$504,"&gt;="&amp;A55-6,$A$5:$A$504,"&lt;="&amp;A55),""))</f>
        <v/>
      </c>
      <c r="D55" s="17" t="str">
        <f aca="false">IF(OR(C55="",COUNTIFS($A$5:$A$504,"&gt;="&amp;A55-13,$A$5:$A$504,"&lt;="&amp;A55-7)=0),"",C55-AVERAGEIFS($B$5:$B$504,$A$5:$A$504,"&gt;="&amp;A55-13,$A$5:$A$504,"&lt;="&amp;A55-7))</f>
        <v/>
      </c>
      <c r="E55" s="18" t="str">
        <f aca="false">IF(D55="","",IF(AND(D55&gt;=0.2,D55&lt;=0.35),"On target — change nothing",IF(D55&lt;0.2,"Gaining too slowly — add 200 kcal to training days","Gaining too fast — cut 200 kcal from training days")))</f>
        <v/>
      </c>
    </row>
    <row r="56" customFormat="false" ht="15" hidden="false" customHeight="false" outlineLevel="0" collapsed="false">
      <c r="A56" s="19"/>
      <c r="B56" s="20"/>
      <c r="C56" s="16" t="str">
        <f aca="false">IF(B56="","",IFERROR(AVERAGEIFS($B$5:$B$504,$A$5:$A$504,"&gt;="&amp;A56-6,$A$5:$A$504,"&lt;="&amp;A56),""))</f>
        <v/>
      </c>
      <c r="D56" s="17" t="str">
        <f aca="false">IF(OR(C56="",COUNTIFS($A$5:$A$504,"&gt;="&amp;A56-13,$A$5:$A$504,"&lt;="&amp;A56-7)=0),"",C56-AVERAGEIFS($B$5:$B$504,$A$5:$A$504,"&gt;="&amp;A56-13,$A$5:$A$504,"&lt;="&amp;A56-7))</f>
        <v/>
      </c>
      <c r="E56" s="18" t="str">
        <f aca="false">IF(D56="","",IF(AND(D56&gt;=0.2,D56&lt;=0.35),"On target — change nothing",IF(D56&lt;0.2,"Gaining too slowly — add 200 kcal to training days","Gaining too fast — cut 200 kcal from training days")))</f>
        <v/>
      </c>
    </row>
    <row r="57" customFormat="false" ht="15" hidden="false" customHeight="false" outlineLevel="0" collapsed="false">
      <c r="A57" s="19"/>
      <c r="B57" s="20"/>
      <c r="C57" s="16" t="str">
        <f aca="false">IF(B57="","",IFERROR(AVERAGEIFS($B$5:$B$504,$A$5:$A$504,"&gt;="&amp;A57-6,$A$5:$A$504,"&lt;="&amp;A57),""))</f>
        <v/>
      </c>
      <c r="D57" s="17" t="str">
        <f aca="false">IF(OR(C57="",COUNTIFS($A$5:$A$504,"&gt;="&amp;A57-13,$A$5:$A$504,"&lt;="&amp;A57-7)=0),"",C57-AVERAGEIFS($B$5:$B$504,$A$5:$A$504,"&gt;="&amp;A57-13,$A$5:$A$504,"&lt;="&amp;A57-7))</f>
        <v/>
      </c>
      <c r="E57" s="18" t="str">
        <f aca="false">IF(D57="","",IF(AND(D57&gt;=0.2,D57&lt;=0.35),"On target — change nothing",IF(D57&lt;0.2,"Gaining too slowly — add 200 kcal to training days","Gaining too fast — cut 200 kcal from training days")))</f>
        <v/>
      </c>
    </row>
    <row r="58" customFormat="false" ht="15" hidden="false" customHeight="false" outlineLevel="0" collapsed="false">
      <c r="A58" s="19"/>
      <c r="B58" s="20"/>
      <c r="C58" s="16" t="str">
        <f aca="false">IF(B58="","",IFERROR(AVERAGEIFS($B$5:$B$504,$A$5:$A$504,"&gt;="&amp;A58-6,$A$5:$A$504,"&lt;="&amp;A58),""))</f>
        <v/>
      </c>
      <c r="D58" s="17" t="str">
        <f aca="false">IF(OR(C58="",COUNTIFS($A$5:$A$504,"&gt;="&amp;A58-13,$A$5:$A$504,"&lt;="&amp;A58-7)=0),"",C58-AVERAGEIFS($B$5:$B$504,$A$5:$A$504,"&gt;="&amp;A58-13,$A$5:$A$504,"&lt;="&amp;A58-7))</f>
        <v/>
      </c>
      <c r="E58" s="18" t="str">
        <f aca="false">IF(D58="","",IF(AND(D58&gt;=0.2,D58&lt;=0.35),"On target — change nothing",IF(D58&lt;0.2,"Gaining too slowly — add 200 kcal to training days","Gaining too fast — cut 200 kcal from training days")))</f>
        <v/>
      </c>
    </row>
    <row r="59" customFormat="false" ht="15" hidden="false" customHeight="false" outlineLevel="0" collapsed="false">
      <c r="A59" s="19"/>
      <c r="B59" s="20"/>
      <c r="C59" s="16" t="str">
        <f aca="false">IF(B59="","",IFERROR(AVERAGEIFS($B$5:$B$504,$A$5:$A$504,"&gt;="&amp;A59-6,$A$5:$A$504,"&lt;="&amp;A59),""))</f>
        <v/>
      </c>
      <c r="D59" s="17" t="str">
        <f aca="false">IF(OR(C59="",COUNTIFS($A$5:$A$504,"&gt;="&amp;A59-13,$A$5:$A$504,"&lt;="&amp;A59-7)=0),"",C59-AVERAGEIFS($B$5:$B$504,$A$5:$A$504,"&gt;="&amp;A59-13,$A$5:$A$504,"&lt;="&amp;A59-7))</f>
        <v/>
      </c>
      <c r="E59" s="18" t="str">
        <f aca="false">IF(D59="","",IF(AND(D59&gt;=0.2,D59&lt;=0.35),"On target — change nothing",IF(D59&lt;0.2,"Gaining too slowly — add 200 kcal to training days","Gaining too fast — cut 200 kcal from training days")))</f>
        <v/>
      </c>
    </row>
    <row r="60" customFormat="false" ht="15" hidden="false" customHeight="false" outlineLevel="0" collapsed="false">
      <c r="A60" s="19"/>
      <c r="B60" s="20"/>
      <c r="C60" s="16" t="str">
        <f aca="false">IF(B60="","",IFERROR(AVERAGEIFS($B$5:$B$504,$A$5:$A$504,"&gt;="&amp;A60-6,$A$5:$A$504,"&lt;="&amp;A60),""))</f>
        <v/>
      </c>
      <c r="D60" s="17" t="str">
        <f aca="false">IF(OR(C60="",COUNTIFS($A$5:$A$504,"&gt;="&amp;A60-13,$A$5:$A$504,"&lt;="&amp;A60-7)=0),"",C60-AVERAGEIFS($B$5:$B$504,$A$5:$A$504,"&gt;="&amp;A60-13,$A$5:$A$504,"&lt;="&amp;A60-7))</f>
        <v/>
      </c>
      <c r="E60" s="18" t="str">
        <f aca="false">IF(D60="","",IF(AND(D60&gt;=0.2,D60&lt;=0.35),"On target — change nothing",IF(D60&lt;0.2,"Gaining too slowly — add 200 kcal to training days","Gaining too fast — cut 200 kcal from training days")))</f>
        <v/>
      </c>
    </row>
    <row r="61" customFormat="false" ht="15" hidden="false" customHeight="false" outlineLevel="0" collapsed="false">
      <c r="A61" s="19"/>
      <c r="B61" s="20"/>
      <c r="C61" s="16" t="str">
        <f aca="false">IF(B61="","",IFERROR(AVERAGEIFS($B$5:$B$504,$A$5:$A$504,"&gt;="&amp;A61-6,$A$5:$A$504,"&lt;="&amp;A61),""))</f>
        <v/>
      </c>
      <c r="D61" s="17" t="str">
        <f aca="false">IF(OR(C61="",COUNTIFS($A$5:$A$504,"&gt;="&amp;A61-13,$A$5:$A$504,"&lt;="&amp;A61-7)=0),"",C61-AVERAGEIFS($B$5:$B$504,$A$5:$A$504,"&gt;="&amp;A61-13,$A$5:$A$504,"&lt;="&amp;A61-7))</f>
        <v/>
      </c>
      <c r="E61" s="18" t="str">
        <f aca="false">IF(D61="","",IF(AND(D61&gt;=0.2,D61&lt;=0.35),"On target — change nothing",IF(D61&lt;0.2,"Gaining too slowly — add 200 kcal to training days","Gaining too fast — cut 200 kcal from training days")))</f>
        <v/>
      </c>
    </row>
    <row r="62" customFormat="false" ht="15" hidden="false" customHeight="false" outlineLevel="0" collapsed="false">
      <c r="A62" s="19"/>
      <c r="B62" s="20"/>
      <c r="C62" s="16" t="str">
        <f aca="false">IF(B62="","",IFERROR(AVERAGEIFS($B$5:$B$504,$A$5:$A$504,"&gt;="&amp;A62-6,$A$5:$A$504,"&lt;="&amp;A62),""))</f>
        <v/>
      </c>
      <c r="D62" s="17" t="str">
        <f aca="false">IF(OR(C62="",COUNTIFS($A$5:$A$504,"&gt;="&amp;A62-13,$A$5:$A$504,"&lt;="&amp;A62-7)=0),"",C62-AVERAGEIFS($B$5:$B$504,$A$5:$A$504,"&gt;="&amp;A62-13,$A$5:$A$504,"&lt;="&amp;A62-7))</f>
        <v/>
      </c>
      <c r="E62" s="18" t="str">
        <f aca="false">IF(D62="","",IF(AND(D62&gt;=0.2,D62&lt;=0.35),"On target — change nothing",IF(D62&lt;0.2,"Gaining too slowly — add 200 kcal to training days","Gaining too fast — cut 200 kcal from training days")))</f>
        <v/>
      </c>
    </row>
    <row r="63" customFormat="false" ht="15" hidden="false" customHeight="false" outlineLevel="0" collapsed="false">
      <c r="A63" s="19"/>
      <c r="B63" s="20"/>
      <c r="C63" s="16" t="str">
        <f aca="false">IF(B63="","",IFERROR(AVERAGEIFS($B$5:$B$504,$A$5:$A$504,"&gt;="&amp;A63-6,$A$5:$A$504,"&lt;="&amp;A63),""))</f>
        <v/>
      </c>
      <c r="D63" s="17" t="str">
        <f aca="false">IF(OR(C63="",COUNTIFS($A$5:$A$504,"&gt;="&amp;A63-13,$A$5:$A$504,"&lt;="&amp;A63-7)=0),"",C63-AVERAGEIFS($B$5:$B$504,$A$5:$A$504,"&gt;="&amp;A63-13,$A$5:$A$504,"&lt;="&amp;A63-7))</f>
        <v/>
      </c>
      <c r="E63" s="18" t="str">
        <f aca="false">IF(D63="","",IF(AND(D63&gt;=0.2,D63&lt;=0.35),"On target — change nothing",IF(D63&lt;0.2,"Gaining too slowly — add 200 kcal to training days","Gaining too fast — cut 200 kcal from training days")))</f>
        <v/>
      </c>
    </row>
    <row r="64" customFormat="false" ht="15" hidden="false" customHeight="false" outlineLevel="0" collapsed="false">
      <c r="A64" s="19"/>
      <c r="B64" s="20"/>
      <c r="C64" s="16" t="str">
        <f aca="false">IF(B64="","",IFERROR(AVERAGEIFS($B$5:$B$504,$A$5:$A$504,"&gt;="&amp;A64-6,$A$5:$A$504,"&lt;="&amp;A64),""))</f>
        <v/>
      </c>
      <c r="D64" s="17" t="str">
        <f aca="false">IF(OR(C64="",COUNTIFS($A$5:$A$504,"&gt;="&amp;A64-13,$A$5:$A$504,"&lt;="&amp;A64-7)=0),"",C64-AVERAGEIFS($B$5:$B$504,$A$5:$A$504,"&gt;="&amp;A64-13,$A$5:$A$504,"&lt;="&amp;A64-7))</f>
        <v/>
      </c>
      <c r="E64" s="18" t="str">
        <f aca="false">IF(D64="","",IF(AND(D64&gt;=0.2,D64&lt;=0.35),"On target — change nothing",IF(D64&lt;0.2,"Gaining too slowly — add 200 kcal to training days","Gaining too fast — cut 200 kcal from training days")))</f>
        <v/>
      </c>
    </row>
    <row r="65" customFormat="false" ht="15" hidden="false" customHeight="false" outlineLevel="0" collapsed="false">
      <c r="A65" s="19"/>
      <c r="B65" s="20"/>
      <c r="C65" s="16" t="str">
        <f aca="false">IF(B65="","",IFERROR(AVERAGEIFS($B$5:$B$504,$A$5:$A$504,"&gt;="&amp;A65-6,$A$5:$A$504,"&lt;="&amp;A65),""))</f>
        <v/>
      </c>
      <c r="D65" s="17" t="str">
        <f aca="false">IF(OR(C65="",COUNTIFS($A$5:$A$504,"&gt;="&amp;A65-13,$A$5:$A$504,"&lt;="&amp;A65-7)=0),"",C65-AVERAGEIFS($B$5:$B$504,$A$5:$A$504,"&gt;="&amp;A65-13,$A$5:$A$504,"&lt;="&amp;A65-7))</f>
        <v/>
      </c>
      <c r="E65" s="18" t="str">
        <f aca="false">IF(D65="","",IF(AND(D65&gt;=0.2,D65&lt;=0.35),"On target — change nothing",IF(D65&lt;0.2,"Gaining too slowly — add 200 kcal to training days","Gaining too fast — cut 200 kcal from training days")))</f>
        <v/>
      </c>
    </row>
    <row r="66" customFormat="false" ht="15" hidden="false" customHeight="false" outlineLevel="0" collapsed="false">
      <c r="A66" s="19"/>
      <c r="B66" s="20"/>
      <c r="C66" s="16" t="str">
        <f aca="false">IF(B66="","",IFERROR(AVERAGEIFS($B$5:$B$504,$A$5:$A$504,"&gt;="&amp;A66-6,$A$5:$A$504,"&lt;="&amp;A66),""))</f>
        <v/>
      </c>
      <c r="D66" s="17" t="str">
        <f aca="false">IF(OR(C66="",COUNTIFS($A$5:$A$504,"&gt;="&amp;A66-13,$A$5:$A$504,"&lt;="&amp;A66-7)=0),"",C66-AVERAGEIFS($B$5:$B$504,$A$5:$A$504,"&gt;="&amp;A66-13,$A$5:$A$504,"&lt;="&amp;A66-7))</f>
        <v/>
      </c>
      <c r="E66" s="18" t="str">
        <f aca="false">IF(D66="","",IF(AND(D66&gt;=0.2,D66&lt;=0.35),"On target — change nothing",IF(D66&lt;0.2,"Gaining too slowly — add 200 kcal to training days","Gaining too fast — cut 200 kcal from training days")))</f>
        <v/>
      </c>
    </row>
    <row r="67" customFormat="false" ht="15" hidden="false" customHeight="false" outlineLevel="0" collapsed="false">
      <c r="A67" s="19"/>
      <c r="B67" s="20"/>
      <c r="C67" s="16" t="str">
        <f aca="false">IF(B67="","",IFERROR(AVERAGEIFS($B$5:$B$504,$A$5:$A$504,"&gt;="&amp;A67-6,$A$5:$A$504,"&lt;="&amp;A67),""))</f>
        <v/>
      </c>
      <c r="D67" s="17" t="str">
        <f aca="false">IF(OR(C67="",COUNTIFS($A$5:$A$504,"&gt;="&amp;A67-13,$A$5:$A$504,"&lt;="&amp;A67-7)=0),"",C67-AVERAGEIFS($B$5:$B$504,$A$5:$A$504,"&gt;="&amp;A67-13,$A$5:$A$504,"&lt;="&amp;A67-7))</f>
        <v/>
      </c>
      <c r="E67" s="18" t="str">
        <f aca="false">IF(D67="","",IF(AND(D67&gt;=0.2,D67&lt;=0.35),"On target — change nothing",IF(D67&lt;0.2,"Gaining too slowly — add 200 kcal to training days","Gaining too fast — cut 200 kcal from training days")))</f>
        <v/>
      </c>
    </row>
    <row r="68" customFormat="false" ht="15" hidden="false" customHeight="false" outlineLevel="0" collapsed="false">
      <c r="A68" s="19"/>
      <c r="B68" s="20"/>
      <c r="C68" s="16" t="str">
        <f aca="false">IF(B68="","",IFERROR(AVERAGEIFS($B$5:$B$504,$A$5:$A$504,"&gt;="&amp;A68-6,$A$5:$A$504,"&lt;="&amp;A68),""))</f>
        <v/>
      </c>
      <c r="D68" s="17" t="str">
        <f aca="false">IF(OR(C68="",COUNTIFS($A$5:$A$504,"&gt;="&amp;A68-13,$A$5:$A$504,"&lt;="&amp;A68-7)=0),"",C68-AVERAGEIFS($B$5:$B$504,$A$5:$A$504,"&gt;="&amp;A68-13,$A$5:$A$504,"&lt;="&amp;A68-7))</f>
        <v/>
      </c>
      <c r="E68" s="18" t="str">
        <f aca="false">IF(D68="","",IF(AND(D68&gt;=0.2,D68&lt;=0.35),"On target — change nothing",IF(D68&lt;0.2,"Gaining too slowly — add 200 kcal to training days","Gaining too fast — cut 200 kcal from training days")))</f>
        <v/>
      </c>
    </row>
    <row r="69" customFormat="false" ht="15" hidden="false" customHeight="false" outlineLevel="0" collapsed="false">
      <c r="A69" s="19"/>
      <c r="B69" s="20"/>
      <c r="C69" s="16" t="str">
        <f aca="false">IF(B69="","",IFERROR(AVERAGEIFS($B$5:$B$504,$A$5:$A$504,"&gt;="&amp;A69-6,$A$5:$A$504,"&lt;="&amp;A69),""))</f>
        <v/>
      </c>
      <c r="D69" s="17" t="str">
        <f aca="false">IF(OR(C69="",COUNTIFS($A$5:$A$504,"&gt;="&amp;A69-13,$A$5:$A$504,"&lt;="&amp;A69-7)=0),"",C69-AVERAGEIFS($B$5:$B$504,$A$5:$A$504,"&gt;="&amp;A69-13,$A$5:$A$504,"&lt;="&amp;A69-7))</f>
        <v/>
      </c>
      <c r="E69" s="18" t="str">
        <f aca="false">IF(D69="","",IF(AND(D69&gt;=0.2,D69&lt;=0.35),"On target — change nothing",IF(D69&lt;0.2,"Gaining too slowly — add 200 kcal to training days","Gaining too fast — cut 200 kcal from training days")))</f>
        <v/>
      </c>
    </row>
    <row r="70" customFormat="false" ht="15" hidden="false" customHeight="false" outlineLevel="0" collapsed="false">
      <c r="A70" s="19"/>
      <c r="B70" s="20"/>
      <c r="C70" s="16" t="str">
        <f aca="false">IF(B70="","",IFERROR(AVERAGEIFS($B$5:$B$504,$A$5:$A$504,"&gt;="&amp;A70-6,$A$5:$A$504,"&lt;="&amp;A70),""))</f>
        <v/>
      </c>
      <c r="D70" s="17" t="str">
        <f aca="false">IF(OR(C70="",COUNTIFS($A$5:$A$504,"&gt;="&amp;A70-13,$A$5:$A$504,"&lt;="&amp;A70-7)=0),"",C70-AVERAGEIFS($B$5:$B$504,$A$5:$A$504,"&gt;="&amp;A70-13,$A$5:$A$504,"&lt;="&amp;A70-7))</f>
        <v/>
      </c>
      <c r="E70" s="18" t="str">
        <f aca="false">IF(D70="","",IF(AND(D70&gt;=0.2,D70&lt;=0.35),"On target — change nothing",IF(D70&lt;0.2,"Gaining too slowly — add 200 kcal to training days","Gaining too fast — cut 200 kcal from training days")))</f>
        <v/>
      </c>
    </row>
    <row r="71" customFormat="false" ht="15" hidden="false" customHeight="false" outlineLevel="0" collapsed="false">
      <c r="A71" s="19"/>
      <c r="B71" s="20"/>
      <c r="C71" s="16" t="str">
        <f aca="false">IF(B71="","",IFERROR(AVERAGEIFS($B$5:$B$504,$A$5:$A$504,"&gt;="&amp;A71-6,$A$5:$A$504,"&lt;="&amp;A71),""))</f>
        <v/>
      </c>
      <c r="D71" s="17" t="str">
        <f aca="false">IF(OR(C71="",COUNTIFS($A$5:$A$504,"&gt;="&amp;A71-13,$A$5:$A$504,"&lt;="&amp;A71-7)=0),"",C71-AVERAGEIFS($B$5:$B$504,$A$5:$A$504,"&gt;="&amp;A71-13,$A$5:$A$504,"&lt;="&amp;A71-7))</f>
        <v/>
      </c>
      <c r="E71" s="18" t="str">
        <f aca="false">IF(D71="","",IF(AND(D71&gt;=0.2,D71&lt;=0.35),"On target — change nothing",IF(D71&lt;0.2,"Gaining too slowly — add 200 kcal to training days","Gaining too fast — cut 200 kcal from training days")))</f>
        <v/>
      </c>
    </row>
    <row r="72" customFormat="false" ht="15" hidden="false" customHeight="false" outlineLevel="0" collapsed="false">
      <c r="A72" s="19"/>
      <c r="B72" s="20"/>
      <c r="C72" s="16" t="str">
        <f aca="false">IF(B72="","",IFERROR(AVERAGEIFS($B$5:$B$504,$A$5:$A$504,"&gt;="&amp;A72-6,$A$5:$A$504,"&lt;="&amp;A72),""))</f>
        <v/>
      </c>
      <c r="D72" s="17" t="str">
        <f aca="false">IF(OR(C72="",COUNTIFS($A$5:$A$504,"&gt;="&amp;A72-13,$A$5:$A$504,"&lt;="&amp;A72-7)=0),"",C72-AVERAGEIFS($B$5:$B$504,$A$5:$A$504,"&gt;="&amp;A72-13,$A$5:$A$504,"&lt;="&amp;A72-7))</f>
        <v/>
      </c>
      <c r="E72" s="18" t="str">
        <f aca="false">IF(D72="","",IF(AND(D72&gt;=0.2,D72&lt;=0.35),"On target — change nothing",IF(D72&lt;0.2,"Gaining too slowly — add 200 kcal to training days","Gaining too fast — cut 200 kcal from training days")))</f>
        <v/>
      </c>
    </row>
    <row r="73" customFormat="false" ht="15" hidden="false" customHeight="false" outlineLevel="0" collapsed="false">
      <c r="A73" s="19"/>
      <c r="B73" s="20"/>
      <c r="C73" s="16" t="str">
        <f aca="false">IF(B73="","",IFERROR(AVERAGEIFS($B$5:$B$504,$A$5:$A$504,"&gt;="&amp;A73-6,$A$5:$A$504,"&lt;="&amp;A73),""))</f>
        <v/>
      </c>
      <c r="D73" s="17" t="str">
        <f aca="false">IF(OR(C73="",COUNTIFS($A$5:$A$504,"&gt;="&amp;A73-13,$A$5:$A$504,"&lt;="&amp;A73-7)=0),"",C73-AVERAGEIFS($B$5:$B$504,$A$5:$A$504,"&gt;="&amp;A73-13,$A$5:$A$504,"&lt;="&amp;A73-7))</f>
        <v/>
      </c>
      <c r="E73" s="18" t="str">
        <f aca="false">IF(D73="","",IF(AND(D73&gt;=0.2,D73&lt;=0.35),"On target — change nothing",IF(D73&lt;0.2,"Gaining too slowly — add 200 kcal to training days","Gaining too fast — cut 200 kcal from training days")))</f>
        <v/>
      </c>
    </row>
    <row r="74" customFormat="false" ht="15" hidden="false" customHeight="false" outlineLevel="0" collapsed="false">
      <c r="A74" s="19"/>
      <c r="B74" s="20"/>
      <c r="C74" s="16" t="str">
        <f aca="false">IF(B74="","",IFERROR(AVERAGEIFS($B$5:$B$504,$A$5:$A$504,"&gt;="&amp;A74-6,$A$5:$A$504,"&lt;="&amp;A74),""))</f>
        <v/>
      </c>
      <c r="D74" s="17" t="str">
        <f aca="false">IF(OR(C74="",COUNTIFS($A$5:$A$504,"&gt;="&amp;A74-13,$A$5:$A$504,"&lt;="&amp;A74-7)=0),"",C74-AVERAGEIFS($B$5:$B$504,$A$5:$A$504,"&gt;="&amp;A74-13,$A$5:$A$504,"&lt;="&amp;A74-7))</f>
        <v/>
      </c>
      <c r="E74" s="18" t="str">
        <f aca="false">IF(D74="","",IF(AND(D74&gt;=0.2,D74&lt;=0.35),"On target — change nothing",IF(D74&lt;0.2,"Gaining too slowly — add 200 kcal to training days","Gaining too fast — cut 200 kcal from training days")))</f>
        <v/>
      </c>
    </row>
    <row r="75" customFormat="false" ht="15" hidden="false" customHeight="false" outlineLevel="0" collapsed="false">
      <c r="A75" s="19"/>
      <c r="B75" s="20"/>
      <c r="C75" s="16" t="str">
        <f aca="false">IF(B75="","",IFERROR(AVERAGEIFS($B$5:$B$504,$A$5:$A$504,"&gt;="&amp;A75-6,$A$5:$A$504,"&lt;="&amp;A75),""))</f>
        <v/>
      </c>
      <c r="D75" s="17" t="str">
        <f aca="false">IF(OR(C75="",COUNTIFS($A$5:$A$504,"&gt;="&amp;A75-13,$A$5:$A$504,"&lt;="&amp;A75-7)=0),"",C75-AVERAGEIFS($B$5:$B$504,$A$5:$A$504,"&gt;="&amp;A75-13,$A$5:$A$504,"&lt;="&amp;A75-7))</f>
        <v/>
      </c>
      <c r="E75" s="18" t="str">
        <f aca="false">IF(D75="","",IF(AND(D75&gt;=0.2,D75&lt;=0.35),"On target — change nothing",IF(D75&lt;0.2,"Gaining too slowly — add 200 kcal to training days","Gaining too fast — cut 200 kcal from training days")))</f>
        <v/>
      </c>
    </row>
    <row r="76" customFormat="false" ht="15" hidden="false" customHeight="false" outlineLevel="0" collapsed="false">
      <c r="A76" s="19"/>
      <c r="B76" s="20"/>
      <c r="C76" s="16" t="str">
        <f aca="false">IF(B76="","",IFERROR(AVERAGEIFS($B$5:$B$504,$A$5:$A$504,"&gt;="&amp;A76-6,$A$5:$A$504,"&lt;="&amp;A76),""))</f>
        <v/>
      </c>
      <c r="D76" s="17" t="str">
        <f aca="false">IF(OR(C76="",COUNTIFS($A$5:$A$504,"&gt;="&amp;A76-13,$A$5:$A$504,"&lt;="&amp;A76-7)=0),"",C76-AVERAGEIFS($B$5:$B$504,$A$5:$A$504,"&gt;="&amp;A76-13,$A$5:$A$504,"&lt;="&amp;A76-7))</f>
        <v/>
      </c>
      <c r="E76" s="18" t="str">
        <f aca="false">IF(D76="","",IF(AND(D76&gt;=0.2,D76&lt;=0.35),"On target — change nothing",IF(D76&lt;0.2,"Gaining too slowly — add 200 kcal to training days","Gaining too fast — cut 200 kcal from training days")))</f>
        <v/>
      </c>
    </row>
    <row r="77" customFormat="false" ht="15" hidden="false" customHeight="false" outlineLevel="0" collapsed="false">
      <c r="A77" s="19"/>
      <c r="B77" s="20"/>
      <c r="C77" s="16" t="str">
        <f aca="false">IF(B77="","",IFERROR(AVERAGEIFS($B$5:$B$504,$A$5:$A$504,"&gt;="&amp;A77-6,$A$5:$A$504,"&lt;="&amp;A77),""))</f>
        <v/>
      </c>
      <c r="D77" s="17" t="str">
        <f aca="false">IF(OR(C77="",COUNTIFS($A$5:$A$504,"&gt;="&amp;A77-13,$A$5:$A$504,"&lt;="&amp;A77-7)=0),"",C77-AVERAGEIFS($B$5:$B$504,$A$5:$A$504,"&gt;="&amp;A77-13,$A$5:$A$504,"&lt;="&amp;A77-7))</f>
        <v/>
      </c>
      <c r="E77" s="18" t="str">
        <f aca="false">IF(D77="","",IF(AND(D77&gt;=0.2,D77&lt;=0.35),"On target — change nothing",IF(D77&lt;0.2,"Gaining too slowly — add 200 kcal to training days","Gaining too fast — cut 200 kcal from training days")))</f>
        <v/>
      </c>
    </row>
    <row r="78" customFormat="false" ht="15" hidden="false" customHeight="false" outlineLevel="0" collapsed="false">
      <c r="A78" s="19"/>
      <c r="B78" s="20"/>
      <c r="C78" s="16" t="str">
        <f aca="false">IF(B78="","",IFERROR(AVERAGEIFS($B$5:$B$504,$A$5:$A$504,"&gt;="&amp;A78-6,$A$5:$A$504,"&lt;="&amp;A78),""))</f>
        <v/>
      </c>
      <c r="D78" s="17" t="str">
        <f aca="false">IF(OR(C78="",COUNTIFS($A$5:$A$504,"&gt;="&amp;A78-13,$A$5:$A$504,"&lt;="&amp;A78-7)=0),"",C78-AVERAGEIFS($B$5:$B$504,$A$5:$A$504,"&gt;="&amp;A78-13,$A$5:$A$504,"&lt;="&amp;A78-7))</f>
        <v/>
      </c>
      <c r="E78" s="18" t="str">
        <f aca="false">IF(D78="","",IF(AND(D78&gt;=0.2,D78&lt;=0.35),"On target — change nothing",IF(D78&lt;0.2,"Gaining too slowly — add 200 kcal to training days","Gaining too fast — cut 200 kcal from training days")))</f>
        <v/>
      </c>
    </row>
    <row r="79" customFormat="false" ht="15" hidden="false" customHeight="false" outlineLevel="0" collapsed="false">
      <c r="A79" s="19"/>
      <c r="B79" s="20"/>
      <c r="C79" s="16" t="str">
        <f aca="false">IF(B79="","",IFERROR(AVERAGEIFS($B$5:$B$504,$A$5:$A$504,"&gt;="&amp;A79-6,$A$5:$A$504,"&lt;="&amp;A79),""))</f>
        <v/>
      </c>
      <c r="D79" s="17" t="str">
        <f aca="false">IF(OR(C79="",COUNTIFS($A$5:$A$504,"&gt;="&amp;A79-13,$A$5:$A$504,"&lt;="&amp;A79-7)=0),"",C79-AVERAGEIFS($B$5:$B$504,$A$5:$A$504,"&gt;="&amp;A79-13,$A$5:$A$504,"&lt;="&amp;A79-7))</f>
        <v/>
      </c>
      <c r="E79" s="18" t="str">
        <f aca="false">IF(D79="","",IF(AND(D79&gt;=0.2,D79&lt;=0.35),"On target — change nothing",IF(D79&lt;0.2,"Gaining too slowly — add 200 kcal to training days","Gaining too fast — cut 200 kcal from training days")))</f>
        <v/>
      </c>
    </row>
    <row r="80" customFormat="false" ht="15" hidden="false" customHeight="false" outlineLevel="0" collapsed="false">
      <c r="A80" s="19"/>
      <c r="B80" s="20"/>
      <c r="C80" s="16" t="str">
        <f aca="false">IF(B80="","",IFERROR(AVERAGEIFS($B$5:$B$504,$A$5:$A$504,"&gt;="&amp;A80-6,$A$5:$A$504,"&lt;="&amp;A80),""))</f>
        <v/>
      </c>
      <c r="D80" s="17" t="str">
        <f aca="false">IF(OR(C80="",COUNTIFS($A$5:$A$504,"&gt;="&amp;A80-13,$A$5:$A$504,"&lt;="&amp;A80-7)=0),"",C80-AVERAGEIFS($B$5:$B$504,$A$5:$A$504,"&gt;="&amp;A80-13,$A$5:$A$504,"&lt;="&amp;A80-7))</f>
        <v/>
      </c>
      <c r="E80" s="18" t="str">
        <f aca="false">IF(D80="","",IF(AND(D80&gt;=0.2,D80&lt;=0.35),"On target — change nothing",IF(D80&lt;0.2,"Gaining too slowly — add 200 kcal to training days","Gaining too fast — cut 200 kcal from training days")))</f>
        <v/>
      </c>
    </row>
    <row r="81" customFormat="false" ht="15" hidden="false" customHeight="false" outlineLevel="0" collapsed="false">
      <c r="A81" s="19"/>
      <c r="B81" s="20"/>
      <c r="C81" s="16" t="str">
        <f aca="false">IF(B81="","",IFERROR(AVERAGEIFS($B$5:$B$504,$A$5:$A$504,"&gt;="&amp;A81-6,$A$5:$A$504,"&lt;="&amp;A81),""))</f>
        <v/>
      </c>
      <c r="D81" s="17" t="str">
        <f aca="false">IF(OR(C81="",COUNTIFS($A$5:$A$504,"&gt;="&amp;A81-13,$A$5:$A$504,"&lt;="&amp;A81-7)=0),"",C81-AVERAGEIFS($B$5:$B$504,$A$5:$A$504,"&gt;="&amp;A81-13,$A$5:$A$504,"&lt;="&amp;A81-7))</f>
        <v/>
      </c>
      <c r="E81" s="18" t="str">
        <f aca="false">IF(D81="","",IF(AND(D81&gt;=0.2,D81&lt;=0.35),"On target — change nothing",IF(D81&lt;0.2,"Gaining too slowly — add 200 kcal to training days","Gaining too fast — cut 200 kcal from training days")))</f>
        <v/>
      </c>
    </row>
    <row r="82" customFormat="false" ht="15" hidden="false" customHeight="false" outlineLevel="0" collapsed="false">
      <c r="A82" s="19"/>
      <c r="B82" s="20"/>
      <c r="C82" s="16" t="str">
        <f aca="false">IF(B82="","",IFERROR(AVERAGEIFS($B$5:$B$504,$A$5:$A$504,"&gt;="&amp;A82-6,$A$5:$A$504,"&lt;="&amp;A82),""))</f>
        <v/>
      </c>
      <c r="D82" s="17" t="str">
        <f aca="false">IF(OR(C82="",COUNTIFS($A$5:$A$504,"&gt;="&amp;A82-13,$A$5:$A$504,"&lt;="&amp;A82-7)=0),"",C82-AVERAGEIFS($B$5:$B$504,$A$5:$A$504,"&gt;="&amp;A82-13,$A$5:$A$504,"&lt;="&amp;A82-7))</f>
        <v/>
      </c>
      <c r="E82" s="18" t="str">
        <f aca="false">IF(D82="","",IF(AND(D82&gt;=0.2,D82&lt;=0.35),"On target — change nothing",IF(D82&lt;0.2,"Gaining too slowly — add 200 kcal to training days","Gaining too fast — cut 200 kcal from training days")))</f>
        <v/>
      </c>
    </row>
    <row r="83" customFormat="false" ht="15" hidden="false" customHeight="false" outlineLevel="0" collapsed="false">
      <c r="A83" s="19"/>
      <c r="B83" s="20"/>
      <c r="C83" s="16" t="str">
        <f aca="false">IF(B83="","",IFERROR(AVERAGEIFS($B$5:$B$504,$A$5:$A$504,"&gt;="&amp;A83-6,$A$5:$A$504,"&lt;="&amp;A83),""))</f>
        <v/>
      </c>
      <c r="D83" s="17" t="str">
        <f aca="false">IF(OR(C83="",COUNTIFS($A$5:$A$504,"&gt;="&amp;A83-13,$A$5:$A$504,"&lt;="&amp;A83-7)=0),"",C83-AVERAGEIFS($B$5:$B$504,$A$5:$A$504,"&gt;="&amp;A83-13,$A$5:$A$504,"&lt;="&amp;A83-7))</f>
        <v/>
      </c>
      <c r="E83" s="18" t="str">
        <f aca="false">IF(D83="","",IF(AND(D83&gt;=0.2,D83&lt;=0.35),"On target — change nothing",IF(D83&lt;0.2,"Gaining too slowly — add 200 kcal to training days","Gaining too fast — cut 200 kcal from training days")))</f>
        <v/>
      </c>
    </row>
    <row r="84" customFormat="false" ht="15" hidden="false" customHeight="false" outlineLevel="0" collapsed="false">
      <c r="A84" s="19"/>
      <c r="B84" s="20"/>
      <c r="C84" s="16" t="str">
        <f aca="false">IF(B84="","",IFERROR(AVERAGEIFS($B$5:$B$504,$A$5:$A$504,"&gt;="&amp;A84-6,$A$5:$A$504,"&lt;="&amp;A84),""))</f>
        <v/>
      </c>
      <c r="D84" s="17" t="str">
        <f aca="false">IF(OR(C84="",COUNTIFS($A$5:$A$504,"&gt;="&amp;A84-13,$A$5:$A$504,"&lt;="&amp;A84-7)=0),"",C84-AVERAGEIFS($B$5:$B$504,$A$5:$A$504,"&gt;="&amp;A84-13,$A$5:$A$504,"&lt;="&amp;A84-7))</f>
        <v/>
      </c>
      <c r="E84" s="18" t="str">
        <f aca="false">IF(D84="","",IF(AND(D84&gt;=0.2,D84&lt;=0.35),"On target — change nothing",IF(D84&lt;0.2,"Gaining too slowly — add 200 kcal to training days","Gaining too fast — cut 200 kcal from training days")))</f>
        <v/>
      </c>
    </row>
    <row r="85" customFormat="false" ht="15" hidden="false" customHeight="false" outlineLevel="0" collapsed="false">
      <c r="A85" s="19"/>
      <c r="B85" s="20"/>
      <c r="C85" s="16" t="str">
        <f aca="false">IF(B85="","",IFERROR(AVERAGEIFS($B$5:$B$504,$A$5:$A$504,"&gt;="&amp;A85-6,$A$5:$A$504,"&lt;="&amp;A85),""))</f>
        <v/>
      </c>
      <c r="D85" s="17" t="str">
        <f aca="false">IF(OR(C85="",COUNTIFS($A$5:$A$504,"&gt;="&amp;A85-13,$A$5:$A$504,"&lt;="&amp;A85-7)=0),"",C85-AVERAGEIFS($B$5:$B$504,$A$5:$A$504,"&gt;="&amp;A85-13,$A$5:$A$504,"&lt;="&amp;A85-7))</f>
        <v/>
      </c>
      <c r="E85" s="18" t="str">
        <f aca="false">IF(D85="","",IF(AND(D85&gt;=0.2,D85&lt;=0.35),"On target — change nothing",IF(D85&lt;0.2,"Gaining too slowly — add 200 kcal to training days","Gaining too fast — cut 200 kcal from training days")))</f>
        <v/>
      </c>
    </row>
    <row r="86" customFormat="false" ht="15" hidden="false" customHeight="false" outlineLevel="0" collapsed="false">
      <c r="A86" s="19"/>
      <c r="B86" s="20"/>
      <c r="C86" s="16" t="str">
        <f aca="false">IF(B86="","",IFERROR(AVERAGEIFS($B$5:$B$504,$A$5:$A$504,"&gt;="&amp;A86-6,$A$5:$A$504,"&lt;="&amp;A86),""))</f>
        <v/>
      </c>
      <c r="D86" s="17" t="str">
        <f aca="false">IF(OR(C86="",COUNTIFS($A$5:$A$504,"&gt;="&amp;A86-13,$A$5:$A$504,"&lt;="&amp;A86-7)=0),"",C86-AVERAGEIFS($B$5:$B$504,$A$5:$A$504,"&gt;="&amp;A86-13,$A$5:$A$504,"&lt;="&amp;A86-7))</f>
        <v/>
      </c>
      <c r="E86" s="18" t="str">
        <f aca="false">IF(D86="","",IF(AND(D86&gt;=0.2,D86&lt;=0.35),"On target — change nothing",IF(D86&lt;0.2,"Gaining too slowly — add 200 kcal to training days","Gaining too fast — cut 200 kcal from training days")))</f>
        <v/>
      </c>
    </row>
    <row r="87" customFormat="false" ht="15" hidden="false" customHeight="false" outlineLevel="0" collapsed="false">
      <c r="A87" s="19"/>
      <c r="B87" s="20"/>
      <c r="C87" s="16" t="str">
        <f aca="false">IF(B87="","",IFERROR(AVERAGEIFS($B$5:$B$504,$A$5:$A$504,"&gt;="&amp;A87-6,$A$5:$A$504,"&lt;="&amp;A87),""))</f>
        <v/>
      </c>
      <c r="D87" s="17" t="str">
        <f aca="false">IF(OR(C87="",COUNTIFS($A$5:$A$504,"&gt;="&amp;A87-13,$A$5:$A$504,"&lt;="&amp;A87-7)=0),"",C87-AVERAGEIFS($B$5:$B$504,$A$5:$A$504,"&gt;="&amp;A87-13,$A$5:$A$504,"&lt;="&amp;A87-7))</f>
        <v/>
      </c>
      <c r="E87" s="18" t="str">
        <f aca="false">IF(D87="","",IF(AND(D87&gt;=0.2,D87&lt;=0.35),"On target — change nothing",IF(D87&lt;0.2,"Gaining too slowly — add 200 kcal to training days","Gaining too fast — cut 200 kcal from training days")))</f>
        <v/>
      </c>
    </row>
    <row r="88" customFormat="false" ht="15" hidden="false" customHeight="false" outlineLevel="0" collapsed="false">
      <c r="A88" s="19"/>
      <c r="B88" s="20"/>
      <c r="C88" s="16" t="str">
        <f aca="false">IF(B88="","",IFERROR(AVERAGEIFS($B$5:$B$504,$A$5:$A$504,"&gt;="&amp;A88-6,$A$5:$A$504,"&lt;="&amp;A88),""))</f>
        <v/>
      </c>
      <c r="D88" s="17" t="str">
        <f aca="false">IF(OR(C88="",COUNTIFS($A$5:$A$504,"&gt;="&amp;A88-13,$A$5:$A$504,"&lt;="&amp;A88-7)=0),"",C88-AVERAGEIFS($B$5:$B$504,$A$5:$A$504,"&gt;="&amp;A88-13,$A$5:$A$504,"&lt;="&amp;A88-7))</f>
        <v/>
      </c>
      <c r="E88" s="18" t="str">
        <f aca="false">IF(D88="","",IF(AND(D88&gt;=0.2,D88&lt;=0.35),"On target — change nothing",IF(D88&lt;0.2,"Gaining too slowly — add 200 kcal to training days","Gaining too fast — cut 200 kcal from training days")))</f>
        <v/>
      </c>
    </row>
    <row r="89" customFormat="false" ht="15" hidden="false" customHeight="false" outlineLevel="0" collapsed="false">
      <c r="A89" s="19"/>
      <c r="B89" s="20"/>
      <c r="C89" s="16" t="str">
        <f aca="false">IF(B89="","",IFERROR(AVERAGEIFS($B$5:$B$504,$A$5:$A$504,"&gt;="&amp;A89-6,$A$5:$A$504,"&lt;="&amp;A89),""))</f>
        <v/>
      </c>
      <c r="D89" s="17" t="str">
        <f aca="false">IF(OR(C89="",COUNTIFS($A$5:$A$504,"&gt;="&amp;A89-13,$A$5:$A$504,"&lt;="&amp;A89-7)=0),"",C89-AVERAGEIFS($B$5:$B$504,$A$5:$A$504,"&gt;="&amp;A89-13,$A$5:$A$504,"&lt;="&amp;A89-7))</f>
        <v/>
      </c>
      <c r="E89" s="18" t="str">
        <f aca="false">IF(D89="","",IF(AND(D89&gt;=0.2,D89&lt;=0.35),"On target — change nothing",IF(D89&lt;0.2,"Gaining too slowly — add 200 kcal to training days","Gaining too fast — cut 200 kcal from training days")))</f>
        <v/>
      </c>
    </row>
    <row r="90" customFormat="false" ht="15" hidden="false" customHeight="false" outlineLevel="0" collapsed="false">
      <c r="A90" s="19"/>
      <c r="B90" s="20"/>
      <c r="C90" s="16" t="str">
        <f aca="false">IF(B90="","",IFERROR(AVERAGEIFS($B$5:$B$504,$A$5:$A$504,"&gt;="&amp;A90-6,$A$5:$A$504,"&lt;="&amp;A90),""))</f>
        <v/>
      </c>
      <c r="D90" s="17" t="str">
        <f aca="false">IF(OR(C90="",COUNTIFS($A$5:$A$504,"&gt;="&amp;A90-13,$A$5:$A$504,"&lt;="&amp;A90-7)=0),"",C90-AVERAGEIFS($B$5:$B$504,$A$5:$A$504,"&gt;="&amp;A90-13,$A$5:$A$504,"&lt;="&amp;A90-7))</f>
        <v/>
      </c>
      <c r="E90" s="18" t="str">
        <f aca="false">IF(D90="","",IF(AND(D90&gt;=0.2,D90&lt;=0.35),"On target — change nothing",IF(D90&lt;0.2,"Gaining too slowly — add 200 kcal to training days","Gaining too fast — cut 200 kcal from training days")))</f>
        <v/>
      </c>
    </row>
    <row r="91" customFormat="false" ht="15" hidden="false" customHeight="false" outlineLevel="0" collapsed="false">
      <c r="A91" s="19"/>
      <c r="B91" s="20"/>
      <c r="C91" s="16" t="str">
        <f aca="false">IF(B91="","",IFERROR(AVERAGEIFS($B$5:$B$504,$A$5:$A$504,"&gt;="&amp;A91-6,$A$5:$A$504,"&lt;="&amp;A91),""))</f>
        <v/>
      </c>
      <c r="D91" s="17" t="str">
        <f aca="false">IF(OR(C91="",COUNTIFS($A$5:$A$504,"&gt;="&amp;A91-13,$A$5:$A$504,"&lt;="&amp;A91-7)=0),"",C91-AVERAGEIFS($B$5:$B$504,$A$5:$A$504,"&gt;="&amp;A91-13,$A$5:$A$504,"&lt;="&amp;A91-7))</f>
        <v/>
      </c>
      <c r="E91" s="18" t="str">
        <f aca="false">IF(D91="","",IF(AND(D91&gt;=0.2,D91&lt;=0.35),"On target — change nothing",IF(D91&lt;0.2,"Gaining too slowly — add 200 kcal to training days","Gaining too fast — cut 200 kcal from training days")))</f>
        <v/>
      </c>
    </row>
    <row r="92" customFormat="false" ht="15" hidden="false" customHeight="false" outlineLevel="0" collapsed="false">
      <c r="A92" s="19"/>
      <c r="B92" s="20"/>
      <c r="C92" s="16" t="str">
        <f aca="false">IF(B92="","",IFERROR(AVERAGEIFS($B$5:$B$504,$A$5:$A$504,"&gt;="&amp;A92-6,$A$5:$A$504,"&lt;="&amp;A92),""))</f>
        <v/>
      </c>
      <c r="D92" s="17" t="str">
        <f aca="false">IF(OR(C92="",COUNTIFS($A$5:$A$504,"&gt;="&amp;A92-13,$A$5:$A$504,"&lt;="&amp;A92-7)=0),"",C92-AVERAGEIFS($B$5:$B$504,$A$5:$A$504,"&gt;="&amp;A92-13,$A$5:$A$504,"&lt;="&amp;A92-7))</f>
        <v/>
      </c>
      <c r="E92" s="18" t="str">
        <f aca="false">IF(D92="","",IF(AND(D92&gt;=0.2,D92&lt;=0.35),"On target — change nothing",IF(D92&lt;0.2,"Gaining too slowly — add 200 kcal to training days","Gaining too fast — cut 200 kcal from training days")))</f>
        <v/>
      </c>
    </row>
    <row r="93" customFormat="false" ht="15" hidden="false" customHeight="false" outlineLevel="0" collapsed="false">
      <c r="A93" s="19"/>
      <c r="B93" s="20"/>
      <c r="C93" s="16" t="str">
        <f aca="false">IF(B93="","",IFERROR(AVERAGEIFS($B$5:$B$504,$A$5:$A$504,"&gt;="&amp;A93-6,$A$5:$A$504,"&lt;="&amp;A93),""))</f>
        <v/>
      </c>
      <c r="D93" s="17" t="str">
        <f aca="false">IF(OR(C93="",COUNTIFS($A$5:$A$504,"&gt;="&amp;A93-13,$A$5:$A$504,"&lt;="&amp;A93-7)=0),"",C93-AVERAGEIFS($B$5:$B$504,$A$5:$A$504,"&gt;="&amp;A93-13,$A$5:$A$504,"&lt;="&amp;A93-7))</f>
        <v/>
      </c>
      <c r="E93" s="18" t="str">
        <f aca="false">IF(D93="","",IF(AND(D93&gt;=0.2,D93&lt;=0.35),"On target — change nothing",IF(D93&lt;0.2,"Gaining too slowly — add 200 kcal to training days","Gaining too fast — cut 200 kcal from training days")))</f>
        <v/>
      </c>
    </row>
    <row r="94" customFormat="false" ht="15" hidden="false" customHeight="false" outlineLevel="0" collapsed="false">
      <c r="A94" s="19"/>
      <c r="B94" s="20"/>
      <c r="C94" s="16" t="str">
        <f aca="false">IF(B94="","",IFERROR(AVERAGEIFS($B$5:$B$504,$A$5:$A$504,"&gt;="&amp;A94-6,$A$5:$A$504,"&lt;="&amp;A94),""))</f>
        <v/>
      </c>
      <c r="D94" s="17" t="str">
        <f aca="false">IF(OR(C94="",COUNTIFS($A$5:$A$504,"&gt;="&amp;A94-13,$A$5:$A$504,"&lt;="&amp;A94-7)=0),"",C94-AVERAGEIFS($B$5:$B$504,$A$5:$A$504,"&gt;="&amp;A94-13,$A$5:$A$504,"&lt;="&amp;A94-7))</f>
        <v/>
      </c>
      <c r="E94" s="18" t="str">
        <f aca="false">IF(D94="","",IF(AND(D94&gt;=0.2,D94&lt;=0.35),"On target — change nothing",IF(D94&lt;0.2,"Gaining too slowly — add 200 kcal to training days","Gaining too fast — cut 200 kcal from training days")))</f>
        <v/>
      </c>
    </row>
    <row r="95" customFormat="false" ht="15" hidden="false" customHeight="false" outlineLevel="0" collapsed="false">
      <c r="A95" s="19"/>
      <c r="B95" s="20"/>
      <c r="C95" s="16" t="str">
        <f aca="false">IF(B95="","",IFERROR(AVERAGEIFS($B$5:$B$504,$A$5:$A$504,"&gt;="&amp;A95-6,$A$5:$A$504,"&lt;="&amp;A95),""))</f>
        <v/>
      </c>
      <c r="D95" s="17" t="str">
        <f aca="false">IF(OR(C95="",COUNTIFS($A$5:$A$504,"&gt;="&amp;A95-13,$A$5:$A$504,"&lt;="&amp;A95-7)=0),"",C95-AVERAGEIFS($B$5:$B$504,$A$5:$A$504,"&gt;="&amp;A95-13,$A$5:$A$504,"&lt;="&amp;A95-7))</f>
        <v/>
      </c>
      <c r="E95" s="18" t="str">
        <f aca="false">IF(D95="","",IF(AND(D95&gt;=0.2,D95&lt;=0.35),"On target — change nothing",IF(D95&lt;0.2,"Gaining too slowly — add 200 kcal to training days","Gaining too fast — cut 200 kcal from training days")))</f>
        <v/>
      </c>
    </row>
    <row r="96" customFormat="false" ht="15" hidden="false" customHeight="false" outlineLevel="0" collapsed="false">
      <c r="A96" s="19"/>
      <c r="B96" s="20"/>
      <c r="C96" s="16" t="str">
        <f aca="false">IF(B96="","",IFERROR(AVERAGEIFS($B$5:$B$504,$A$5:$A$504,"&gt;="&amp;A96-6,$A$5:$A$504,"&lt;="&amp;A96),""))</f>
        <v/>
      </c>
      <c r="D96" s="17" t="str">
        <f aca="false">IF(OR(C96="",COUNTIFS($A$5:$A$504,"&gt;="&amp;A96-13,$A$5:$A$504,"&lt;="&amp;A96-7)=0),"",C96-AVERAGEIFS($B$5:$B$504,$A$5:$A$504,"&gt;="&amp;A96-13,$A$5:$A$504,"&lt;="&amp;A96-7))</f>
        <v/>
      </c>
      <c r="E96" s="18" t="str">
        <f aca="false">IF(D96="","",IF(AND(D96&gt;=0.2,D96&lt;=0.35),"On target — change nothing",IF(D96&lt;0.2,"Gaining too slowly — add 200 kcal to training days","Gaining too fast — cut 200 kcal from training days")))</f>
        <v/>
      </c>
    </row>
    <row r="97" customFormat="false" ht="15" hidden="false" customHeight="false" outlineLevel="0" collapsed="false">
      <c r="A97" s="19"/>
      <c r="B97" s="20"/>
      <c r="C97" s="16" t="str">
        <f aca="false">IF(B97="","",IFERROR(AVERAGEIFS($B$5:$B$504,$A$5:$A$504,"&gt;="&amp;A97-6,$A$5:$A$504,"&lt;="&amp;A97),""))</f>
        <v/>
      </c>
      <c r="D97" s="17" t="str">
        <f aca="false">IF(OR(C97="",COUNTIFS($A$5:$A$504,"&gt;="&amp;A97-13,$A$5:$A$504,"&lt;="&amp;A97-7)=0),"",C97-AVERAGEIFS($B$5:$B$504,$A$5:$A$504,"&gt;="&amp;A97-13,$A$5:$A$504,"&lt;="&amp;A97-7))</f>
        <v/>
      </c>
      <c r="E97" s="18" t="str">
        <f aca="false">IF(D97="","",IF(AND(D97&gt;=0.2,D97&lt;=0.35),"On target — change nothing",IF(D97&lt;0.2,"Gaining too slowly — add 200 kcal to training days","Gaining too fast — cut 200 kcal from training days")))</f>
        <v/>
      </c>
    </row>
    <row r="98" customFormat="false" ht="15" hidden="false" customHeight="false" outlineLevel="0" collapsed="false">
      <c r="A98" s="19"/>
      <c r="B98" s="20"/>
      <c r="C98" s="16" t="str">
        <f aca="false">IF(B98="","",IFERROR(AVERAGEIFS($B$5:$B$504,$A$5:$A$504,"&gt;="&amp;A98-6,$A$5:$A$504,"&lt;="&amp;A98),""))</f>
        <v/>
      </c>
      <c r="D98" s="17" t="str">
        <f aca="false">IF(OR(C98="",COUNTIFS($A$5:$A$504,"&gt;="&amp;A98-13,$A$5:$A$504,"&lt;="&amp;A98-7)=0),"",C98-AVERAGEIFS($B$5:$B$504,$A$5:$A$504,"&gt;="&amp;A98-13,$A$5:$A$504,"&lt;="&amp;A98-7))</f>
        <v/>
      </c>
      <c r="E98" s="18" t="str">
        <f aca="false">IF(D98="","",IF(AND(D98&gt;=0.2,D98&lt;=0.35),"On target — change nothing",IF(D98&lt;0.2,"Gaining too slowly — add 200 kcal to training days","Gaining too fast — cut 200 kcal from training days")))</f>
        <v/>
      </c>
    </row>
    <row r="99" customFormat="false" ht="15" hidden="false" customHeight="false" outlineLevel="0" collapsed="false">
      <c r="A99" s="19"/>
      <c r="B99" s="20"/>
      <c r="C99" s="16" t="str">
        <f aca="false">IF(B99="","",IFERROR(AVERAGEIFS($B$5:$B$504,$A$5:$A$504,"&gt;="&amp;A99-6,$A$5:$A$504,"&lt;="&amp;A99),""))</f>
        <v/>
      </c>
      <c r="D99" s="17" t="str">
        <f aca="false">IF(OR(C99="",COUNTIFS($A$5:$A$504,"&gt;="&amp;A99-13,$A$5:$A$504,"&lt;="&amp;A99-7)=0),"",C99-AVERAGEIFS($B$5:$B$504,$A$5:$A$504,"&gt;="&amp;A99-13,$A$5:$A$504,"&lt;="&amp;A99-7))</f>
        <v/>
      </c>
      <c r="E99" s="18" t="str">
        <f aca="false">IF(D99="","",IF(AND(D99&gt;=0.2,D99&lt;=0.35),"On target — change nothing",IF(D99&lt;0.2,"Gaining too slowly — add 200 kcal to training days","Gaining too fast — cut 200 kcal from training days")))</f>
        <v/>
      </c>
    </row>
    <row r="100" customFormat="false" ht="15" hidden="false" customHeight="false" outlineLevel="0" collapsed="false">
      <c r="A100" s="19"/>
      <c r="B100" s="20"/>
      <c r="C100" s="16" t="str">
        <f aca="false">IF(B100="","",IFERROR(AVERAGEIFS($B$5:$B$504,$A$5:$A$504,"&gt;="&amp;A100-6,$A$5:$A$504,"&lt;="&amp;A100),""))</f>
        <v/>
      </c>
      <c r="D100" s="17" t="str">
        <f aca="false">IF(OR(C100="",COUNTIFS($A$5:$A$504,"&gt;="&amp;A100-13,$A$5:$A$504,"&lt;="&amp;A100-7)=0),"",C100-AVERAGEIFS($B$5:$B$504,$A$5:$A$504,"&gt;="&amp;A100-13,$A$5:$A$504,"&lt;="&amp;A100-7))</f>
        <v/>
      </c>
      <c r="E100" s="18" t="str">
        <f aca="false">IF(D100="","",IF(AND(D100&gt;=0.2,D100&lt;=0.35),"On target — change nothing",IF(D100&lt;0.2,"Gaining too slowly — add 200 kcal to training days","Gaining too fast — cut 200 kcal from training days")))</f>
        <v/>
      </c>
    </row>
    <row r="101" customFormat="false" ht="15" hidden="false" customHeight="false" outlineLevel="0" collapsed="false">
      <c r="A101" s="19"/>
      <c r="B101" s="20"/>
      <c r="C101" s="16" t="str">
        <f aca="false">IF(B101="","",IFERROR(AVERAGEIFS($B$5:$B$504,$A$5:$A$504,"&gt;="&amp;A101-6,$A$5:$A$504,"&lt;="&amp;A101),""))</f>
        <v/>
      </c>
      <c r="D101" s="17" t="str">
        <f aca="false">IF(OR(C101="",COUNTIFS($A$5:$A$504,"&gt;="&amp;A101-13,$A$5:$A$504,"&lt;="&amp;A101-7)=0),"",C101-AVERAGEIFS($B$5:$B$504,$A$5:$A$504,"&gt;="&amp;A101-13,$A$5:$A$504,"&lt;="&amp;A101-7))</f>
        <v/>
      </c>
      <c r="E101" s="18" t="str">
        <f aca="false">IF(D101="","",IF(AND(D101&gt;=0.2,D101&lt;=0.35),"On target — change nothing",IF(D101&lt;0.2,"Gaining too slowly — add 200 kcal to training days","Gaining too fast — cut 200 kcal from training days")))</f>
        <v/>
      </c>
    </row>
    <row r="102" customFormat="false" ht="15" hidden="false" customHeight="false" outlineLevel="0" collapsed="false">
      <c r="A102" s="19"/>
      <c r="B102" s="20"/>
      <c r="C102" s="16" t="str">
        <f aca="false">IF(B102="","",IFERROR(AVERAGEIFS($B$5:$B$504,$A$5:$A$504,"&gt;="&amp;A102-6,$A$5:$A$504,"&lt;="&amp;A102),""))</f>
        <v/>
      </c>
      <c r="D102" s="17" t="str">
        <f aca="false">IF(OR(C102="",COUNTIFS($A$5:$A$504,"&gt;="&amp;A102-13,$A$5:$A$504,"&lt;="&amp;A102-7)=0),"",C102-AVERAGEIFS($B$5:$B$504,$A$5:$A$504,"&gt;="&amp;A102-13,$A$5:$A$504,"&lt;="&amp;A102-7))</f>
        <v/>
      </c>
      <c r="E102" s="18" t="str">
        <f aca="false">IF(D102="","",IF(AND(D102&gt;=0.2,D102&lt;=0.35),"On target — change nothing",IF(D102&lt;0.2,"Gaining too slowly — add 200 kcal to training days","Gaining too fast — cut 200 kcal from training days")))</f>
        <v/>
      </c>
    </row>
    <row r="103" customFormat="false" ht="15" hidden="false" customHeight="false" outlineLevel="0" collapsed="false">
      <c r="A103" s="19"/>
      <c r="B103" s="20"/>
      <c r="C103" s="16" t="str">
        <f aca="false">IF(B103="","",IFERROR(AVERAGEIFS($B$5:$B$504,$A$5:$A$504,"&gt;="&amp;A103-6,$A$5:$A$504,"&lt;="&amp;A103),""))</f>
        <v/>
      </c>
      <c r="D103" s="17" t="str">
        <f aca="false">IF(OR(C103="",COUNTIFS($A$5:$A$504,"&gt;="&amp;A103-13,$A$5:$A$504,"&lt;="&amp;A103-7)=0),"",C103-AVERAGEIFS($B$5:$B$504,$A$5:$A$504,"&gt;="&amp;A103-13,$A$5:$A$504,"&lt;="&amp;A103-7))</f>
        <v/>
      </c>
      <c r="E103" s="18" t="str">
        <f aca="false">IF(D103="","",IF(AND(D103&gt;=0.2,D103&lt;=0.35),"On target — change nothing",IF(D103&lt;0.2,"Gaining too slowly — add 200 kcal to training days","Gaining too fast — cut 200 kcal from training days")))</f>
        <v/>
      </c>
    </row>
    <row r="104" customFormat="false" ht="15" hidden="false" customHeight="false" outlineLevel="0" collapsed="false">
      <c r="A104" s="19"/>
      <c r="B104" s="20"/>
      <c r="C104" s="16" t="str">
        <f aca="false">IF(B104="","",IFERROR(AVERAGEIFS($B$5:$B$504,$A$5:$A$504,"&gt;="&amp;A104-6,$A$5:$A$504,"&lt;="&amp;A104),""))</f>
        <v/>
      </c>
      <c r="D104" s="17" t="str">
        <f aca="false">IF(OR(C104="",COUNTIFS($A$5:$A$504,"&gt;="&amp;A104-13,$A$5:$A$504,"&lt;="&amp;A104-7)=0),"",C104-AVERAGEIFS($B$5:$B$504,$A$5:$A$504,"&gt;="&amp;A104-13,$A$5:$A$504,"&lt;="&amp;A104-7))</f>
        <v/>
      </c>
      <c r="E104" s="18" t="str">
        <f aca="false">IF(D104="","",IF(AND(D104&gt;=0.2,D104&lt;=0.35),"On target — change nothing",IF(D104&lt;0.2,"Gaining too slowly — add 200 kcal to training days","Gaining too fast — cut 200 kcal from training days")))</f>
        <v/>
      </c>
    </row>
    <row r="105" customFormat="false" ht="15" hidden="false" customHeight="false" outlineLevel="0" collapsed="false">
      <c r="A105" s="19"/>
      <c r="B105" s="20"/>
      <c r="C105" s="16" t="str">
        <f aca="false">IF(B105="","",IFERROR(AVERAGEIFS($B$5:$B$504,$A$5:$A$504,"&gt;="&amp;A105-6,$A$5:$A$504,"&lt;="&amp;A105),""))</f>
        <v/>
      </c>
      <c r="D105" s="17" t="str">
        <f aca="false">IF(OR(C105="",COUNTIFS($A$5:$A$504,"&gt;="&amp;A105-13,$A$5:$A$504,"&lt;="&amp;A105-7)=0),"",C105-AVERAGEIFS($B$5:$B$504,$A$5:$A$504,"&gt;="&amp;A105-13,$A$5:$A$504,"&lt;="&amp;A105-7))</f>
        <v/>
      </c>
      <c r="E105" s="18" t="str">
        <f aca="false">IF(D105="","",IF(AND(D105&gt;=0.2,D105&lt;=0.35),"On target — change nothing",IF(D105&lt;0.2,"Gaining too slowly — add 200 kcal to training days","Gaining too fast — cut 200 kcal from training days")))</f>
        <v/>
      </c>
    </row>
    <row r="106" customFormat="false" ht="15" hidden="false" customHeight="false" outlineLevel="0" collapsed="false">
      <c r="A106" s="19"/>
      <c r="B106" s="20"/>
      <c r="C106" s="16" t="str">
        <f aca="false">IF(B106="","",IFERROR(AVERAGEIFS($B$5:$B$504,$A$5:$A$504,"&gt;="&amp;A106-6,$A$5:$A$504,"&lt;="&amp;A106),""))</f>
        <v/>
      </c>
      <c r="D106" s="17" t="str">
        <f aca="false">IF(OR(C106="",COUNTIFS($A$5:$A$504,"&gt;="&amp;A106-13,$A$5:$A$504,"&lt;="&amp;A106-7)=0),"",C106-AVERAGEIFS($B$5:$B$504,$A$5:$A$504,"&gt;="&amp;A106-13,$A$5:$A$504,"&lt;="&amp;A106-7))</f>
        <v/>
      </c>
      <c r="E106" s="18" t="str">
        <f aca="false">IF(D106="","",IF(AND(D106&gt;=0.2,D106&lt;=0.35),"On target — change nothing",IF(D106&lt;0.2,"Gaining too slowly — add 200 kcal to training days","Gaining too fast — cut 200 kcal from training days")))</f>
        <v/>
      </c>
    </row>
    <row r="107" customFormat="false" ht="15" hidden="false" customHeight="false" outlineLevel="0" collapsed="false">
      <c r="A107" s="19"/>
      <c r="B107" s="20"/>
      <c r="C107" s="16" t="str">
        <f aca="false">IF(B107="","",IFERROR(AVERAGEIFS($B$5:$B$504,$A$5:$A$504,"&gt;="&amp;A107-6,$A$5:$A$504,"&lt;="&amp;A107),""))</f>
        <v/>
      </c>
      <c r="D107" s="17" t="str">
        <f aca="false">IF(OR(C107="",COUNTIFS($A$5:$A$504,"&gt;="&amp;A107-13,$A$5:$A$504,"&lt;="&amp;A107-7)=0),"",C107-AVERAGEIFS($B$5:$B$504,$A$5:$A$504,"&gt;="&amp;A107-13,$A$5:$A$504,"&lt;="&amp;A107-7))</f>
        <v/>
      </c>
      <c r="E107" s="18" t="str">
        <f aca="false">IF(D107="","",IF(AND(D107&gt;=0.2,D107&lt;=0.35),"On target — change nothing",IF(D107&lt;0.2,"Gaining too slowly — add 200 kcal to training days","Gaining too fast — cut 200 kcal from training days")))</f>
        <v/>
      </c>
    </row>
    <row r="108" customFormat="false" ht="15" hidden="false" customHeight="false" outlineLevel="0" collapsed="false">
      <c r="A108" s="19"/>
      <c r="B108" s="20"/>
      <c r="C108" s="16" t="str">
        <f aca="false">IF(B108="","",IFERROR(AVERAGEIFS($B$5:$B$504,$A$5:$A$504,"&gt;="&amp;A108-6,$A$5:$A$504,"&lt;="&amp;A108),""))</f>
        <v/>
      </c>
      <c r="D108" s="17" t="str">
        <f aca="false">IF(OR(C108="",COUNTIFS($A$5:$A$504,"&gt;="&amp;A108-13,$A$5:$A$504,"&lt;="&amp;A108-7)=0),"",C108-AVERAGEIFS($B$5:$B$504,$A$5:$A$504,"&gt;="&amp;A108-13,$A$5:$A$504,"&lt;="&amp;A108-7))</f>
        <v/>
      </c>
      <c r="E108" s="18" t="str">
        <f aca="false">IF(D108="","",IF(AND(D108&gt;=0.2,D108&lt;=0.35),"On target — change nothing",IF(D108&lt;0.2,"Gaining too slowly — add 200 kcal to training days","Gaining too fast — cut 200 kcal from training days")))</f>
        <v/>
      </c>
    </row>
    <row r="109" customFormat="false" ht="15" hidden="false" customHeight="false" outlineLevel="0" collapsed="false">
      <c r="A109" s="19"/>
      <c r="B109" s="20"/>
      <c r="C109" s="16" t="str">
        <f aca="false">IF(B109="","",IFERROR(AVERAGEIFS($B$5:$B$504,$A$5:$A$504,"&gt;="&amp;A109-6,$A$5:$A$504,"&lt;="&amp;A109),""))</f>
        <v/>
      </c>
      <c r="D109" s="17" t="str">
        <f aca="false">IF(OR(C109="",COUNTIFS($A$5:$A$504,"&gt;="&amp;A109-13,$A$5:$A$504,"&lt;="&amp;A109-7)=0),"",C109-AVERAGEIFS($B$5:$B$504,$A$5:$A$504,"&gt;="&amp;A109-13,$A$5:$A$504,"&lt;="&amp;A109-7))</f>
        <v/>
      </c>
      <c r="E109" s="18" t="str">
        <f aca="false">IF(D109="","",IF(AND(D109&gt;=0.2,D109&lt;=0.35),"On target — change nothing",IF(D109&lt;0.2,"Gaining too slowly — add 200 kcal to training days","Gaining too fast — cut 200 kcal from training days")))</f>
        <v/>
      </c>
    </row>
    <row r="110" customFormat="false" ht="15" hidden="false" customHeight="false" outlineLevel="0" collapsed="false">
      <c r="A110" s="19"/>
      <c r="B110" s="20"/>
      <c r="C110" s="16" t="str">
        <f aca="false">IF(B110="","",IFERROR(AVERAGEIFS($B$5:$B$504,$A$5:$A$504,"&gt;="&amp;A110-6,$A$5:$A$504,"&lt;="&amp;A110),""))</f>
        <v/>
      </c>
      <c r="D110" s="17" t="str">
        <f aca="false">IF(OR(C110="",COUNTIFS($A$5:$A$504,"&gt;="&amp;A110-13,$A$5:$A$504,"&lt;="&amp;A110-7)=0),"",C110-AVERAGEIFS($B$5:$B$504,$A$5:$A$504,"&gt;="&amp;A110-13,$A$5:$A$504,"&lt;="&amp;A110-7))</f>
        <v/>
      </c>
      <c r="E110" s="18" t="str">
        <f aca="false">IF(D110="","",IF(AND(D110&gt;=0.2,D110&lt;=0.35),"On target — change nothing",IF(D110&lt;0.2,"Gaining too slowly — add 200 kcal to training days","Gaining too fast — cut 200 kcal from training days")))</f>
        <v/>
      </c>
    </row>
    <row r="111" customFormat="false" ht="15" hidden="false" customHeight="false" outlineLevel="0" collapsed="false">
      <c r="A111" s="19"/>
      <c r="B111" s="20"/>
      <c r="C111" s="16" t="str">
        <f aca="false">IF(B111="","",IFERROR(AVERAGEIFS($B$5:$B$504,$A$5:$A$504,"&gt;="&amp;A111-6,$A$5:$A$504,"&lt;="&amp;A111),""))</f>
        <v/>
      </c>
      <c r="D111" s="17" t="str">
        <f aca="false">IF(OR(C111="",COUNTIFS($A$5:$A$504,"&gt;="&amp;A111-13,$A$5:$A$504,"&lt;="&amp;A111-7)=0),"",C111-AVERAGEIFS($B$5:$B$504,$A$5:$A$504,"&gt;="&amp;A111-13,$A$5:$A$504,"&lt;="&amp;A111-7))</f>
        <v/>
      </c>
      <c r="E111" s="18" t="str">
        <f aca="false">IF(D111="","",IF(AND(D111&gt;=0.2,D111&lt;=0.35),"On target — change nothing",IF(D111&lt;0.2,"Gaining too slowly — add 200 kcal to training days","Gaining too fast — cut 200 kcal from training days")))</f>
        <v/>
      </c>
    </row>
    <row r="112" customFormat="false" ht="15" hidden="false" customHeight="false" outlineLevel="0" collapsed="false">
      <c r="A112" s="19"/>
      <c r="B112" s="20"/>
      <c r="C112" s="16" t="str">
        <f aca="false">IF(B112="","",IFERROR(AVERAGEIFS($B$5:$B$504,$A$5:$A$504,"&gt;="&amp;A112-6,$A$5:$A$504,"&lt;="&amp;A112),""))</f>
        <v/>
      </c>
      <c r="D112" s="17" t="str">
        <f aca="false">IF(OR(C112="",COUNTIFS($A$5:$A$504,"&gt;="&amp;A112-13,$A$5:$A$504,"&lt;="&amp;A112-7)=0),"",C112-AVERAGEIFS($B$5:$B$504,$A$5:$A$504,"&gt;="&amp;A112-13,$A$5:$A$504,"&lt;="&amp;A112-7))</f>
        <v/>
      </c>
      <c r="E112" s="18" t="str">
        <f aca="false">IF(D112="","",IF(AND(D112&gt;=0.2,D112&lt;=0.35),"On target — change nothing",IF(D112&lt;0.2,"Gaining too slowly — add 200 kcal to training days","Gaining too fast — cut 200 kcal from training days")))</f>
        <v/>
      </c>
    </row>
    <row r="113" customFormat="false" ht="15" hidden="false" customHeight="false" outlineLevel="0" collapsed="false">
      <c r="A113" s="19"/>
      <c r="B113" s="20"/>
      <c r="C113" s="16" t="str">
        <f aca="false">IF(B113="","",IFERROR(AVERAGEIFS($B$5:$B$504,$A$5:$A$504,"&gt;="&amp;A113-6,$A$5:$A$504,"&lt;="&amp;A113),""))</f>
        <v/>
      </c>
      <c r="D113" s="17" t="str">
        <f aca="false">IF(OR(C113="",COUNTIFS($A$5:$A$504,"&gt;="&amp;A113-13,$A$5:$A$504,"&lt;="&amp;A113-7)=0),"",C113-AVERAGEIFS($B$5:$B$504,$A$5:$A$504,"&gt;="&amp;A113-13,$A$5:$A$504,"&lt;="&amp;A113-7))</f>
        <v/>
      </c>
      <c r="E113" s="18" t="str">
        <f aca="false">IF(D113="","",IF(AND(D113&gt;=0.2,D113&lt;=0.35),"On target — change nothing",IF(D113&lt;0.2,"Gaining too slowly — add 200 kcal to training days","Gaining too fast — cut 200 kcal from training days")))</f>
        <v/>
      </c>
    </row>
    <row r="114" customFormat="false" ht="15" hidden="false" customHeight="false" outlineLevel="0" collapsed="false">
      <c r="A114" s="19"/>
      <c r="B114" s="20"/>
      <c r="C114" s="16" t="str">
        <f aca="false">IF(B114="","",IFERROR(AVERAGEIFS($B$5:$B$504,$A$5:$A$504,"&gt;="&amp;A114-6,$A$5:$A$504,"&lt;="&amp;A114),""))</f>
        <v/>
      </c>
      <c r="D114" s="17" t="str">
        <f aca="false">IF(OR(C114="",COUNTIFS($A$5:$A$504,"&gt;="&amp;A114-13,$A$5:$A$504,"&lt;="&amp;A114-7)=0),"",C114-AVERAGEIFS($B$5:$B$504,$A$5:$A$504,"&gt;="&amp;A114-13,$A$5:$A$504,"&lt;="&amp;A114-7))</f>
        <v/>
      </c>
      <c r="E114" s="18" t="str">
        <f aca="false">IF(D114="","",IF(AND(D114&gt;=0.2,D114&lt;=0.35),"On target — change nothing",IF(D114&lt;0.2,"Gaining too slowly — add 200 kcal to training days","Gaining too fast — cut 200 kcal from training days")))</f>
        <v/>
      </c>
    </row>
    <row r="115" customFormat="false" ht="15" hidden="false" customHeight="false" outlineLevel="0" collapsed="false">
      <c r="A115" s="19"/>
      <c r="B115" s="20"/>
      <c r="C115" s="16" t="str">
        <f aca="false">IF(B115="","",IFERROR(AVERAGEIFS($B$5:$B$504,$A$5:$A$504,"&gt;="&amp;A115-6,$A$5:$A$504,"&lt;="&amp;A115),""))</f>
        <v/>
      </c>
      <c r="D115" s="17" t="str">
        <f aca="false">IF(OR(C115="",COUNTIFS($A$5:$A$504,"&gt;="&amp;A115-13,$A$5:$A$504,"&lt;="&amp;A115-7)=0),"",C115-AVERAGEIFS($B$5:$B$504,$A$5:$A$504,"&gt;="&amp;A115-13,$A$5:$A$504,"&lt;="&amp;A115-7))</f>
        <v/>
      </c>
      <c r="E115" s="18" t="str">
        <f aca="false">IF(D115="","",IF(AND(D115&gt;=0.2,D115&lt;=0.35),"On target — change nothing",IF(D115&lt;0.2,"Gaining too slowly — add 200 kcal to training days","Gaining too fast — cut 200 kcal from training days")))</f>
        <v/>
      </c>
    </row>
    <row r="116" customFormat="false" ht="15" hidden="false" customHeight="false" outlineLevel="0" collapsed="false">
      <c r="A116" s="19"/>
      <c r="B116" s="20"/>
      <c r="C116" s="16" t="str">
        <f aca="false">IF(B116="","",IFERROR(AVERAGEIFS($B$5:$B$504,$A$5:$A$504,"&gt;="&amp;A116-6,$A$5:$A$504,"&lt;="&amp;A116),""))</f>
        <v/>
      </c>
      <c r="D116" s="17" t="str">
        <f aca="false">IF(OR(C116="",COUNTIFS($A$5:$A$504,"&gt;="&amp;A116-13,$A$5:$A$504,"&lt;="&amp;A116-7)=0),"",C116-AVERAGEIFS($B$5:$B$504,$A$5:$A$504,"&gt;="&amp;A116-13,$A$5:$A$504,"&lt;="&amp;A116-7))</f>
        <v/>
      </c>
      <c r="E116" s="18" t="str">
        <f aca="false">IF(D116="","",IF(AND(D116&gt;=0.2,D116&lt;=0.35),"On target — change nothing",IF(D116&lt;0.2,"Gaining too slowly — add 200 kcal to training days","Gaining too fast — cut 200 kcal from training days")))</f>
        <v/>
      </c>
    </row>
    <row r="117" customFormat="false" ht="15" hidden="false" customHeight="false" outlineLevel="0" collapsed="false">
      <c r="A117" s="19"/>
      <c r="B117" s="20"/>
      <c r="C117" s="16" t="str">
        <f aca="false">IF(B117="","",IFERROR(AVERAGEIFS($B$5:$B$504,$A$5:$A$504,"&gt;="&amp;A117-6,$A$5:$A$504,"&lt;="&amp;A117),""))</f>
        <v/>
      </c>
      <c r="D117" s="17" t="str">
        <f aca="false">IF(OR(C117="",COUNTIFS($A$5:$A$504,"&gt;="&amp;A117-13,$A$5:$A$504,"&lt;="&amp;A117-7)=0),"",C117-AVERAGEIFS($B$5:$B$504,$A$5:$A$504,"&gt;="&amp;A117-13,$A$5:$A$504,"&lt;="&amp;A117-7))</f>
        <v/>
      </c>
      <c r="E117" s="18" t="str">
        <f aca="false">IF(D117="","",IF(AND(D117&gt;=0.2,D117&lt;=0.35),"On target — change nothing",IF(D117&lt;0.2,"Gaining too slowly — add 200 kcal to training days","Gaining too fast — cut 200 kcal from training days")))</f>
        <v/>
      </c>
    </row>
    <row r="118" customFormat="false" ht="15" hidden="false" customHeight="false" outlineLevel="0" collapsed="false">
      <c r="A118" s="19"/>
      <c r="B118" s="20"/>
      <c r="C118" s="16" t="str">
        <f aca="false">IF(B118="","",IFERROR(AVERAGEIFS($B$5:$B$504,$A$5:$A$504,"&gt;="&amp;A118-6,$A$5:$A$504,"&lt;="&amp;A118),""))</f>
        <v/>
      </c>
      <c r="D118" s="17" t="str">
        <f aca="false">IF(OR(C118="",COUNTIFS($A$5:$A$504,"&gt;="&amp;A118-13,$A$5:$A$504,"&lt;="&amp;A118-7)=0),"",C118-AVERAGEIFS($B$5:$B$504,$A$5:$A$504,"&gt;="&amp;A118-13,$A$5:$A$504,"&lt;="&amp;A118-7))</f>
        <v/>
      </c>
      <c r="E118" s="18" t="str">
        <f aca="false">IF(D118="","",IF(AND(D118&gt;=0.2,D118&lt;=0.35),"On target — change nothing",IF(D118&lt;0.2,"Gaining too slowly — add 200 kcal to training days","Gaining too fast — cut 200 kcal from training days")))</f>
        <v/>
      </c>
    </row>
    <row r="119" customFormat="false" ht="15" hidden="false" customHeight="false" outlineLevel="0" collapsed="false">
      <c r="A119" s="19"/>
      <c r="B119" s="20"/>
      <c r="C119" s="16" t="str">
        <f aca="false">IF(B119="","",IFERROR(AVERAGEIFS($B$5:$B$504,$A$5:$A$504,"&gt;="&amp;A119-6,$A$5:$A$504,"&lt;="&amp;A119),""))</f>
        <v/>
      </c>
      <c r="D119" s="17" t="str">
        <f aca="false">IF(OR(C119="",COUNTIFS($A$5:$A$504,"&gt;="&amp;A119-13,$A$5:$A$504,"&lt;="&amp;A119-7)=0),"",C119-AVERAGEIFS($B$5:$B$504,$A$5:$A$504,"&gt;="&amp;A119-13,$A$5:$A$504,"&lt;="&amp;A119-7))</f>
        <v/>
      </c>
      <c r="E119" s="18" t="str">
        <f aca="false">IF(D119="","",IF(AND(D119&gt;=0.2,D119&lt;=0.35),"On target — change nothing",IF(D119&lt;0.2,"Gaining too slowly — add 200 kcal to training days","Gaining too fast — cut 200 kcal from training days")))</f>
        <v/>
      </c>
    </row>
    <row r="120" customFormat="false" ht="15" hidden="false" customHeight="false" outlineLevel="0" collapsed="false">
      <c r="A120" s="19"/>
      <c r="B120" s="20"/>
      <c r="C120" s="16" t="str">
        <f aca="false">IF(B120="","",IFERROR(AVERAGEIFS($B$5:$B$504,$A$5:$A$504,"&gt;="&amp;A120-6,$A$5:$A$504,"&lt;="&amp;A120),""))</f>
        <v/>
      </c>
      <c r="D120" s="17" t="str">
        <f aca="false">IF(OR(C120="",COUNTIFS($A$5:$A$504,"&gt;="&amp;A120-13,$A$5:$A$504,"&lt;="&amp;A120-7)=0),"",C120-AVERAGEIFS($B$5:$B$504,$A$5:$A$504,"&gt;="&amp;A120-13,$A$5:$A$504,"&lt;="&amp;A120-7))</f>
        <v/>
      </c>
      <c r="E120" s="18" t="str">
        <f aca="false">IF(D120="","",IF(AND(D120&gt;=0.2,D120&lt;=0.35),"On target — change nothing",IF(D120&lt;0.2,"Gaining too slowly — add 200 kcal to training days","Gaining too fast — cut 200 kcal from training days")))</f>
        <v/>
      </c>
    </row>
    <row r="121" customFormat="false" ht="15" hidden="false" customHeight="false" outlineLevel="0" collapsed="false">
      <c r="A121" s="19"/>
      <c r="B121" s="20"/>
      <c r="C121" s="16" t="str">
        <f aca="false">IF(B121="","",IFERROR(AVERAGEIFS($B$5:$B$504,$A$5:$A$504,"&gt;="&amp;A121-6,$A$5:$A$504,"&lt;="&amp;A121),""))</f>
        <v/>
      </c>
      <c r="D121" s="17" t="str">
        <f aca="false">IF(OR(C121="",COUNTIFS($A$5:$A$504,"&gt;="&amp;A121-13,$A$5:$A$504,"&lt;="&amp;A121-7)=0),"",C121-AVERAGEIFS($B$5:$B$504,$A$5:$A$504,"&gt;="&amp;A121-13,$A$5:$A$504,"&lt;="&amp;A121-7))</f>
        <v/>
      </c>
      <c r="E121" s="18" t="str">
        <f aca="false">IF(D121="","",IF(AND(D121&gt;=0.2,D121&lt;=0.35),"On target — change nothing",IF(D121&lt;0.2,"Gaining too slowly — add 200 kcal to training days","Gaining too fast — cut 200 kcal from training days")))</f>
        <v/>
      </c>
    </row>
    <row r="122" customFormat="false" ht="15" hidden="false" customHeight="false" outlineLevel="0" collapsed="false">
      <c r="A122" s="19"/>
      <c r="B122" s="20"/>
      <c r="C122" s="16" t="str">
        <f aca="false">IF(B122="","",IFERROR(AVERAGEIFS($B$5:$B$504,$A$5:$A$504,"&gt;="&amp;A122-6,$A$5:$A$504,"&lt;="&amp;A122),""))</f>
        <v/>
      </c>
      <c r="D122" s="17" t="str">
        <f aca="false">IF(OR(C122="",COUNTIFS($A$5:$A$504,"&gt;="&amp;A122-13,$A$5:$A$504,"&lt;="&amp;A122-7)=0),"",C122-AVERAGEIFS($B$5:$B$504,$A$5:$A$504,"&gt;="&amp;A122-13,$A$5:$A$504,"&lt;="&amp;A122-7))</f>
        <v/>
      </c>
      <c r="E122" s="18" t="str">
        <f aca="false">IF(D122="","",IF(AND(D122&gt;=0.2,D122&lt;=0.35),"On target — change nothing",IF(D122&lt;0.2,"Gaining too slowly — add 200 kcal to training days","Gaining too fast — cut 200 kcal from training days")))</f>
        <v/>
      </c>
    </row>
    <row r="123" customFormat="false" ht="15" hidden="false" customHeight="false" outlineLevel="0" collapsed="false">
      <c r="A123" s="19"/>
      <c r="B123" s="20"/>
      <c r="C123" s="16" t="str">
        <f aca="false">IF(B123="","",IFERROR(AVERAGEIFS($B$5:$B$504,$A$5:$A$504,"&gt;="&amp;A123-6,$A$5:$A$504,"&lt;="&amp;A123),""))</f>
        <v/>
      </c>
      <c r="D123" s="17" t="str">
        <f aca="false">IF(OR(C123="",COUNTIFS($A$5:$A$504,"&gt;="&amp;A123-13,$A$5:$A$504,"&lt;="&amp;A123-7)=0),"",C123-AVERAGEIFS($B$5:$B$504,$A$5:$A$504,"&gt;="&amp;A123-13,$A$5:$A$504,"&lt;="&amp;A123-7))</f>
        <v/>
      </c>
      <c r="E123" s="18" t="str">
        <f aca="false">IF(D123="","",IF(AND(D123&gt;=0.2,D123&lt;=0.35),"On target — change nothing",IF(D123&lt;0.2,"Gaining too slowly — add 200 kcal to training days","Gaining too fast — cut 200 kcal from training days")))</f>
        <v/>
      </c>
    </row>
    <row r="124" customFormat="false" ht="15" hidden="false" customHeight="false" outlineLevel="0" collapsed="false">
      <c r="A124" s="19"/>
      <c r="B124" s="20"/>
      <c r="C124" s="16" t="str">
        <f aca="false">IF(B124="","",IFERROR(AVERAGEIFS($B$5:$B$504,$A$5:$A$504,"&gt;="&amp;A124-6,$A$5:$A$504,"&lt;="&amp;A124),""))</f>
        <v/>
      </c>
      <c r="D124" s="17" t="str">
        <f aca="false">IF(OR(C124="",COUNTIFS($A$5:$A$504,"&gt;="&amp;A124-13,$A$5:$A$504,"&lt;="&amp;A124-7)=0),"",C124-AVERAGEIFS($B$5:$B$504,$A$5:$A$504,"&gt;="&amp;A124-13,$A$5:$A$504,"&lt;="&amp;A124-7))</f>
        <v/>
      </c>
      <c r="E124" s="18" t="str">
        <f aca="false">IF(D124="","",IF(AND(D124&gt;=0.2,D124&lt;=0.35),"On target — change nothing",IF(D124&lt;0.2,"Gaining too slowly — add 200 kcal to training days","Gaining too fast — cut 200 kcal from training days")))</f>
        <v/>
      </c>
    </row>
    <row r="125" customFormat="false" ht="15" hidden="false" customHeight="false" outlineLevel="0" collapsed="false">
      <c r="A125" s="19"/>
      <c r="B125" s="20"/>
      <c r="C125" s="16" t="str">
        <f aca="false">IF(B125="","",IFERROR(AVERAGEIFS($B$5:$B$504,$A$5:$A$504,"&gt;="&amp;A125-6,$A$5:$A$504,"&lt;="&amp;A125),""))</f>
        <v/>
      </c>
      <c r="D125" s="17" t="str">
        <f aca="false">IF(OR(C125="",COUNTIFS($A$5:$A$504,"&gt;="&amp;A125-13,$A$5:$A$504,"&lt;="&amp;A125-7)=0),"",C125-AVERAGEIFS($B$5:$B$504,$A$5:$A$504,"&gt;="&amp;A125-13,$A$5:$A$504,"&lt;="&amp;A125-7))</f>
        <v/>
      </c>
      <c r="E125" s="18" t="str">
        <f aca="false">IF(D125="","",IF(AND(D125&gt;=0.2,D125&lt;=0.35),"On target — change nothing",IF(D125&lt;0.2,"Gaining too slowly — add 200 kcal to training days","Gaining too fast — cut 200 kcal from training days")))</f>
        <v/>
      </c>
    </row>
    <row r="126" customFormat="false" ht="15" hidden="false" customHeight="false" outlineLevel="0" collapsed="false">
      <c r="A126" s="19"/>
      <c r="B126" s="20"/>
      <c r="C126" s="16" t="str">
        <f aca="false">IF(B126="","",IFERROR(AVERAGEIFS($B$5:$B$504,$A$5:$A$504,"&gt;="&amp;A126-6,$A$5:$A$504,"&lt;="&amp;A126),""))</f>
        <v/>
      </c>
      <c r="D126" s="17" t="str">
        <f aca="false">IF(OR(C126="",COUNTIFS($A$5:$A$504,"&gt;="&amp;A126-13,$A$5:$A$504,"&lt;="&amp;A126-7)=0),"",C126-AVERAGEIFS($B$5:$B$504,$A$5:$A$504,"&gt;="&amp;A126-13,$A$5:$A$504,"&lt;="&amp;A126-7))</f>
        <v/>
      </c>
      <c r="E126" s="18" t="str">
        <f aca="false">IF(D126="","",IF(AND(D126&gt;=0.2,D126&lt;=0.35),"On target — change nothing",IF(D126&lt;0.2,"Gaining too slowly — add 200 kcal to training days","Gaining too fast — cut 200 kcal from training days")))</f>
        <v/>
      </c>
    </row>
    <row r="127" customFormat="false" ht="15" hidden="false" customHeight="false" outlineLevel="0" collapsed="false">
      <c r="A127" s="19"/>
      <c r="B127" s="20"/>
      <c r="C127" s="16" t="str">
        <f aca="false">IF(B127="","",IFERROR(AVERAGEIFS($B$5:$B$504,$A$5:$A$504,"&gt;="&amp;A127-6,$A$5:$A$504,"&lt;="&amp;A127),""))</f>
        <v/>
      </c>
      <c r="D127" s="17" t="str">
        <f aca="false">IF(OR(C127="",COUNTIFS($A$5:$A$504,"&gt;="&amp;A127-13,$A$5:$A$504,"&lt;="&amp;A127-7)=0),"",C127-AVERAGEIFS($B$5:$B$504,$A$5:$A$504,"&gt;="&amp;A127-13,$A$5:$A$504,"&lt;="&amp;A127-7))</f>
        <v/>
      </c>
      <c r="E127" s="18" t="str">
        <f aca="false">IF(D127="","",IF(AND(D127&gt;=0.2,D127&lt;=0.35),"On target — change nothing",IF(D127&lt;0.2,"Gaining too slowly — add 200 kcal to training days","Gaining too fast — cut 200 kcal from training days")))</f>
        <v/>
      </c>
    </row>
    <row r="128" customFormat="false" ht="15" hidden="false" customHeight="false" outlineLevel="0" collapsed="false">
      <c r="A128" s="19"/>
      <c r="B128" s="20"/>
      <c r="C128" s="16" t="str">
        <f aca="false">IF(B128="","",IFERROR(AVERAGEIFS($B$5:$B$504,$A$5:$A$504,"&gt;="&amp;A128-6,$A$5:$A$504,"&lt;="&amp;A128),""))</f>
        <v/>
      </c>
      <c r="D128" s="17" t="str">
        <f aca="false">IF(OR(C128="",COUNTIFS($A$5:$A$504,"&gt;="&amp;A128-13,$A$5:$A$504,"&lt;="&amp;A128-7)=0),"",C128-AVERAGEIFS($B$5:$B$504,$A$5:$A$504,"&gt;="&amp;A128-13,$A$5:$A$504,"&lt;="&amp;A128-7))</f>
        <v/>
      </c>
      <c r="E128" s="18" t="str">
        <f aca="false">IF(D128="","",IF(AND(D128&gt;=0.2,D128&lt;=0.35),"On target — change nothing",IF(D128&lt;0.2,"Gaining too slowly — add 200 kcal to training days","Gaining too fast — cut 200 kcal from training days")))</f>
        <v/>
      </c>
    </row>
    <row r="129" customFormat="false" ht="15" hidden="false" customHeight="false" outlineLevel="0" collapsed="false">
      <c r="A129" s="19"/>
      <c r="B129" s="20"/>
      <c r="C129" s="16" t="str">
        <f aca="false">IF(B129="","",IFERROR(AVERAGEIFS($B$5:$B$504,$A$5:$A$504,"&gt;="&amp;A129-6,$A$5:$A$504,"&lt;="&amp;A129),""))</f>
        <v/>
      </c>
      <c r="D129" s="17" t="str">
        <f aca="false">IF(OR(C129="",COUNTIFS($A$5:$A$504,"&gt;="&amp;A129-13,$A$5:$A$504,"&lt;="&amp;A129-7)=0),"",C129-AVERAGEIFS($B$5:$B$504,$A$5:$A$504,"&gt;="&amp;A129-13,$A$5:$A$504,"&lt;="&amp;A129-7))</f>
        <v/>
      </c>
      <c r="E129" s="18" t="str">
        <f aca="false">IF(D129="","",IF(AND(D129&gt;=0.2,D129&lt;=0.35),"On target — change nothing",IF(D129&lt;0.2,"Gaining too slowly — add 200 kcal to training days","Gaining too fast — cut 200 kcal from training days")))</f>
        <v/>
      </c>
    </row>
    <row r="130" customFormat="false" ht="15" hidden="false" customHeight="false" outlineLevel="0" collapsed="false">
      <c r="A130" s="19"/>
      <c r="B130" s="20"/>
      <c r="C130" s="16" t="str">
        <f aca="false">IF(B130="","",IFERROR(AVERAGEIFS($B$5:$B$504,$A$5:$A$504,"&gt;="&amp;A130-6,$A$5:$A$504,"&lt;="&amp;A130),""))</f>
        <v/>
      </c>
      <c r="D130" s="17" t="str">
        <f aca="false">IF(OR(C130="",COUNTIFS($A$5:$A$504,"&gt;="&amp;A130-13,$A$5:$A$504,"&lt;="&amp;A130-7)=0),"",C130-AVERAGEIFS($B$5:$B$504,$A$5:$A$504,"&gt;="&amp;A130-13,$A$5:$A$504,"&lt;="&amp;A130-7))</f>
        <v/>
      </c>
      <c r="E130" s="18" t="str">
        <f aca="false">IF(D130="","",IF(AND(D130&gt;=0.2,D130&lt;=0.35),"On target — change nothing",IF(D130&lt;0.2,"Gaining too slowly — add 200 kcal to training days","Gaining too fast — cut 200 kcal from training days")))</f>
        <v/>
      </c>
    </row>
    <row r="131" customFormat="false" ht="15" hidden="false" customHeight="false" outlineLevel="0" collapsed="false">
      <c r="A131" s="19"/>
      <c r="B131" s="20"/>
      <c r="C131" s="16" t="str">
        <f aca="false">IF(B131="","",IFERROR(AVERAGEIFS($B$5:$B$504,$A$5:$A$504,"&gt;="&amp;A131-6,$A$5:$A$504,"&lt;="&amp;A131),""))</f>
        <v/>
      </c>
      <c r="D131" s="17" t="str">
        <f aca="false">IF(OR(C131="",COUNTIFS($A$5:$A$504,"&gt;="&amp;A131-13,$A$5:$A$504,"&lt;="&amp;A131-7)=0),"",C131-AVERAGEIFS($B$5:$B$504,$A$5:$A$504,"&gt;="&amp;A131-13,$A$5:$A$504,"&lt;="&amp;A131-7))</f>
        <v/>
      </c>
      <c r="E131" s="18" t="str">
        <f aca="false">IF(D131="","",IF(AND(D131&gt;=0.2,D131&lt;=0.35),"On target — change nothing",IF(D131&lt;0.2,"Gaining too slowly — add 200 kcal to training days","Gaining too fast — cut 200 kcal from training days")))</f>
        <v/>
      </c>
    </row>
    <row r="132" customFormat="false" ht="15" hidden="false" customHeight="false" outlineLevel="0" collapsed="false">
      <c r="A132" s="19"/>
      <c r="B132" s="20"/>
      <c r="C132" s="16" t="str">
        <f aca="false">IF(B132="","",IFERROR(AVERAGEIFS($B$5:$B$504,$A$5:$A$504,"&gt;="&amp;A132-6,$A$5:$A$504,"&lt;="&amp;A132),""))</f>
        <v/>
      </c>
      <c r="D132" s="17" t="str">
        <f aca="false">IF(OR(C132="",COUNTIFS($A$5:$A$504,"&gt;="&amp;A132-13,$A$5:$A$504,"&lt;="&amp;A132-7)=0),"",C132-AVERAGEIFS($B$5:$B$504,$A$5:$A$504,"&gt;="&amp;A132-13,$A$5:$A$504,"&lt;="&amp;A132-7))</f>
        <v/>
      </c>
      <c r="E132" s="18" t="str">
        <f aca="false">IF(D132="","",IF(AND(D132&gt;=0.2,D132&lt;=0.35),"On target — change nothing",IF(D132&lt;0.2,"Gaining too slowly — add 200 kcal to training days","Gaining too fast — cut 200 kcal from training days")))</f>
        <v/>
      </c>
    </row>
    <row r="133" customFormat="false" ht="15" hidden="false" customHeight="false" outlineLevel="0" collapsed="false">
      <c r="A133" s="19"/>
      <c r="B133" s="20"/>
      <c r="C133" s="16" t="str">
        <f aca="false">IF(B133="","",IFERROR(AVERAGEIFS($B$5:$B$504,$A$5:$A$504,"&gt;="&amp;A133-6,$A$5:$A$504,"&lt;="&amp;A133),""))</f>
        <v/>
      </c>
      <c r="D133" s="17" t="str">
        <f aca="false">IF(OR(C133="",COUNTIFS($A$5:$A$504,"&gt;="&amp;A133-13,$A$5:$A$504,"&lt;="&amp;A133-7)=0),"",C133-AVERAGEIFS($B$5:$B$504,$A$5:$A$504,"&gt;="&amp;A133-13,$A$5:$A$504,"&lt;="&amp;A133-7))</f>
        <v/>
      </c>
      <c r="E133" s="18" t="str">
        <f aca="false">IF(D133="","",IF(AND(D133&gt;=0.2,D133&lt;=0.35),"On target — change nothing",IF(D133&lt;0.2,"Gaining too slowly — add 200 kcal to training days","Gaining too fast — cut 200 kcal from training days")))</f>
        <v/>
      </c>
    </row>
    <row r="134" customFormat="false" ht="15" hidden="false" customHeight="false" outlineLevel="0" collapsed="false">
      <c r="A134" s="19"/>
      <c r="B134" s="20"/>
      <c r="C134" s="16" t="str">
        <f aca="false">IF(B134="","",IFERROR(AVERAGEIFS($B$5:$B$504,$A$5:$A$504,"&gt;="&amp;A134-6,$A$5:$A$504,"&lt;="&amp;A134),""))</f>
        <v/>
      </c>
      <c r="D134" s="17" t="str">
        <f aca="false">IF(OR(C134="",COUNTIFS($A$5:$A$504,"&gt;="&amp;A134-13,$A$5:$A$504,"&lt;="&amp;A134-7)=0),"",C134-AVERAGEIFS($B$5:$B$504,$A$5:$A$504,"&gt;="&amp;A134-13,$A$5:$A$504,"&lt;="&amp;A134-7))</f>
        <v/>
      </c>
      <c r="E134" s="18" t="str">
        <f aca="false">IF(D134="","",IF(AND(D134&gt;=0.2,D134&lt;=0.35),"On target — change nothing",IF(D134&lt;0.2,"Gaining too slowly — add 200 kcal to training days","Gaining too fast — cut 200 kcal from training days")))</f>
        <v/>
      </c>
    </row>
    <row r="135" customFormat="false" ht="15" hidden="false" customHeight="false" outlineLevel="0" collapsed="false">
      <c r="A135" s="19"/>
      <c r="B135" s="20"/>
      <c r="C135" s="16" t="str">
        <f aca="false">IF(B135="","",IFERROR(AVERAGEIFS($B$5:$B$504,$A$5:$A$504,"&gt;="&amp;A135-6,$A$5:$A$504,"&lt;="&amp;A135),""))</f>
        <v/>
      </c>
      <c r="D135" s="17" t="str">
        <f aca="false">IF(OR(C135="",COUNTIFS($A$5:$A$504,"&gt;="&amp;A135-13,$A$5:$A$504,"&lt;="&amp;A135-7)=0),"",C135-AVERAGEIFS($B$5:$B$504,$A$5:$A$504,"&gt;="&amp;A135-13,$A$5:$A$504,"&lt;="&amp;A135-7))</f>
        <v/>
      </c>
      <c r="E135" s="18" t="str">
        <f aca="false">IF(D135="","",IF(AND(D135&gt;=0.2,D135&lt;=0.35),"On target — change nothing",IF(D135&lt;0.2,"Gaining too slowly — add 200 kcal to training days","Gaining too fast — cut 200 kcal from training days")))</f>
        <v/>
      </c>
    </row>
    <row r="136" customFormat="false" ht="15" hidden="false" customHeight="false" outlineLevel="0" collapsed="false">
      <c r="A136" s="19"/>
      <c r="B136" s="20"/>
      <c r="C136" s="16" t="str">
        <f aca="false">IF(B136="","",IFERROR(AVERAGEIFS($B$5:$B$504,$A$5:$A$504,"&gt;="&amp;A136-6,$A$5:$A$504,"&lt;="&amp;A136),""))</f>
        <v/>
      </c>
      <c r="D136" s="17" t="str">
        <f aca="false">IF(OR(C136="",COUNTIFS($A$5:$A$504,"&gt;="&amp;A136-13,$A$5:$A$504,"&lt;="&amp;A136-7)=0),"",C136-AVERAGEIFS($B$5:$B$504,$A$5:$A$504,"&gt;="&amp;A136-13,$A$5:$A$504,"&lt;="&amp;A136-7))</f>
        <v/>
      </c>
      <c r="E136" s="18" t="str">
        <f aca="false">IF(D136="","",IF(AND(D136&gt;=0.2,D136&lt;=0.35),"On target — change nothing",IF(D136&lt;0.2,"Gaining too slowly — add 200 kcal to training days","Gaining too fast — cut 200 kcal from training days")))</f>
        <v/>
      </c>
    </row>
    <row r="137" customFormat="false" ht="15" hidden="false" customHeight="false" outlineLevel="0" collapsed="false">
      <c r="A137" s="19"/>
      <c r="B137" s="20"/>
      <c r="C137" s="16" t="str">
        <f aca="false">IF(B137="","",IFERROR(AVERAGEIFS($B$5:$B$504,$A$5:$A$504,"&gt;="&amp;A137-6,$A$5:$A$504,"&lt;="&amp;A137),""))</f>
        <v/>
      </c>
      <c r="D137" s="17" t="str">
        <f aca="false">IF(OR(C137="",COUNTIFS($A$5:$A$504,"&gt;="&amp;A137-13,$A$5:$A$504,"&lt;="&amp;A137-7)=0),"",C137-AVERAGEIFS($B$5:$B$504,$A$5:$A$504,"&gt;="&amp;A137-13,$A$5:$A$504,"&lt;="&amp;A137-7))</f>
        <v/>
      </c>
      <c r="E137" s="18" t="str">
        <f aca="false">IF(D137="","",IF(AND(D137&gt;=0.2,D137&lt;=0.35),"On target — change nothing",IF(D137&lt;0.2,"Gaining too slowly — add 200 kcal to training days","Gaining too fast — cut 200 kcal from training days")))</f>
        <v/>
      </c>
    </row>
    <row r="138" customFormat="false" ht="15" hidden="false" customHeight="false" outlineLevel="0" collapsed="false">
      <c r="A138" s="19"/>
      <c r="B138" s="20"/>
      <c r="C138" s="16" t="str">
        <f aca="false">IF(B138="","",IFERROR(AVERAGEIFS($B$5:$B$504,$A$5:$A$504,"&gt;="&amp;A138-6,$A$5:$A$504,"&lt;="&amp;A138),""))</f>
        <v/>
      </c>
      <c r="D138" s="17" t="str">
        <f aca="false">IF(OR(C138="",COUNTIFS($A$5:$A$504,"&gt;="&amp;A138-13,$A$5:$A$504,"&lt;="&amp;A138-7)=0),"",C138-AVERAGEIFS($B$5:$B$504,$A$5:$A$504,"&gt;="&amp;A138-13,$A$5:$A$504,"&lt;="&amp;A138-7))</f>
        <v/>
      </c>
      <c r="E138" s="18" t="str">
        <f aca="false">IF(D138="","",IF(AND(D138&gt;=0.2,D138&lt;=0.35),"On target — change nothing",IF(D138&lt;0.2,"Gaining too slowly — add 200 kcal to training days","Gaining too fast — cut 200 kcal from training days")))</f>
        <v/>
      </c>
    </row>
    <row r="139" customFormat="false" ht="15" hidden="false" customHeight="false" outlineLevel="0" collapsed="false">
      <c r="A139" s="19"/>
      <c r="B139" s="20"/>
      <c r="C139" s="16" t="str">
        <f aca="false">IF(B139="","",IFERROR(AVERAGEIFS($B$5:$B$504,$A$5:$A$504,"&gt;="&amp;A139-6,$A$5:$A$504,"&lt;="&amp;A139),""))</f>
        <v/>
      </c>
      <c r="D139" s="17" t="str">
        <f aca="false">IF(OR(C139="",COUNTIFS($A$5:$A$504,"&gt;="&amp;A139-13,$A$5:$A$504,"&lt;="&amp;A139-7)=0),"",C139-AVERAGEIFS($B$5:$B$504,$A$5:$A$504,"&gt;="&amp;A139-13,$A$5:$A$504,"&lt;="&amp;A139-7))</f>
        <v/>
      </c>
      <c r="E139" s="18" t="str">
        <f aca="false">IF(D139="","",IF(AND(D139&gt;=0.2,D139&lt;=0.35),"On target — change nothing",IF(D139&lt;0.2,"Gaining too slowly — add 200 kcal to training days","Gaining too fast — cut 200 kcal from training days")))</f>
        <v/>
      </c>
    </row>
    <row r="140" customFormat="false" ht="15" hidden="false" customHeight="false" outlineLevel="0" collapsed="false">
      <c r="A140" s="19"/>
      <c r="B140" s="20"/>
      <c r="C140" s="16" t="str">
        <f aca="false">IF(B140="","",IFERROR(AVERAGEIFS($B$5:$B$504,$A$5:$A$504,"&gt;="&amp;A140-6,$A$5:$A$504,"&lt;="&amp;A140),""))</f>
        <v/>
      </c>
      <c r="D140" s="17" t="str">
        <f aca="false">IF(OR(C140="",COUNTIFS($A$5:$A$504,"&gt;="&amp;A140-13,$A$5:$A$504,"&lt;="&amp;A140-7)=0),"",C140-AVERAGEIFS($B$5:$B$504,$A$5:$A$504,"&gt;="&amp;A140-13,$A$5:$A$504,"&lt;="&amp;A140-7))</f>
        <v/>
      </c>
      <c r="E140" s="18" t="str">
        <f aca="false">IF(D140="","",IF(AND(D140&gt;=0.2,D140&lt;=0.35),"On target — change nothing",IF(D140&lt;0.2,"Gaining too slowly — add 200 kcal to training days","Gaining too fast — cut 200 kcal from training days")))</f>
        <v/>
      </c>
    </row>
    <row r="141" customFormat="false" ht="15" hidden="false" customHeight="false" outlineLevel="0" collapsed="false">
      <c r="A141" s="19"/>
      <c r="B141" s="20"/>
      <c r="C141" s="16" t="str">
        <f aca="false">IF(B141="","",IFERROR(AVERAGEIFS($B$5:$B$504,$A$5:$A$504,"&gt;="&amp;A141-6,$A$5:$A$504,"&lt;="&amp;A141),""))</f>
        <v/>
      </c>
      <c r="D141" s="17" t="str">
        <f aca="false">IF(OR(C141="",COUNTIFS($A$5:$A$504,"&gt;="&amp;A141-13,$A$5:$A$504,"&lt;="&amp;A141-7)=0),"",C141-AVERAGEIFS($B$5:$B$504,$A$5:$A$504,"&gt;="&amp;A141-13,$A$5:$A$504,"&lt;="&amp;A141-7))</f>
        <v/>
      </c>
      <c r="E141" s="18" t="str">
        <f aca="false">IF(D141="","",IF(AND(D141&gt;=0.2,D141&lt;=0.35),"On target — change nothing",IF(D141&lt;0.2,"Gaining too slowly — add 200 kcal to training days","Gaining too fast — cut 200 kcal from training days")))</f>
        <v/>
      </c>
    </row>
    <row r="142" customFormat="false" ht="15" hidden="false" customHeight="false" outlineLevel="0" collapsed="false">
      <c r="A142" s="19"/>
      <c r="B142" s="20"/>
      <c r="C142" s="16" t="str">
        <f aca="false">IF(B142="","",IFERROR(AVERAGEIFS($B$5:$B$504,$A$5:$A$504,"&gt;="&amp;A142-6,$A$5:$A$504,"&lt;="&amp;A142),""))</f>
        <v/>
      </c>
      <c r="D142" s="17" t="str">
        <f aca="false">IF(OR(C142="",COUNTIFS($A$5:$A$504,"&gt;="&amp;A142-13,$A$5:$A$504,"&lt;="&amp;A142-7)=0),"",C142-AVERAGEIFS($B$5:$B$504,$A$5:$A$504,"&gt;="&amp;A142-13,$A$5:$A$504,"&lt;="&amp;A142-7))</f>
        <v/>
      </c>
      <c r="E142" s="18" t="str">
        <f aca="false">IF(D142="","",IF(AND(D142&gt;=0.2,D142&lt;=0.35),"On target — change nothing",IF(D142&lt;0.2,"Gaining too slowly — add 200 kcal to training days","Gaining too fast — cut 200 kcal from training days")))</f>
        <v/>
      </c>
    </row>
    <row r="143" customFormat="false" ht="15" hidden="false" customHeight="false" outlineLevel="0" collapsed="false">
      <c r="A143" s="19"/>
      <c r="B143" s="20"/>
      <c r="C143" s="16" t="str">
        <f aca="false">IF(B143="","",IFERROR(AVERAGEIFS($B$5:$B$504,$A$5:$A$504,"&gt;="&amp;A143-6,$A$5:$A$504,"&lt;="&amp;A143),""))</f>
        <v/>
      </c>
      <c r="D143" s="17" t="str">
        <f aca="false">IF(OR(C143="",COUNTIFS($A$5:$A$504,"&gt;="&amp;A143-13,$A$5:$A$504,"&lt;="&amp;A143-7)=0),"",C143-AVERAGEIFS($B$5:$B$504,$A$5:$A$504,"&gt;="&amp;A143-13,$A$5:$A$504,"&lt;="&amp;A143-7))</f>
        <v/>
      </c>
      <c r="E143" s="18" t="str">
        <f aca="false">IF(D143="","",IF(AND(D143&gt;=0.2,D143&lt;=0.35),"On target — change nothing",IF(D143&lt;0.2,"Gaining too slowly — add 200 kcal to training days","Gaining too fast — cut 200 kcal from training days")))</f>
        <v/>
      </c>
    </row>
    <row r="144" customFormat="false" ht="15" hidden="false" customHeight="false" outlineLevel="0" collapsed="false">
      <c r="A144" s="19"/>
      <c r="B144" s="20"/>
      <c r="C144" s="16" t="str">
        <f aca="false">IF(B144="","",IFERROR(AVERAGEIFS($B$5:$B$504,$A$5:$A$504,"&gt;="&amp;A144-6,$A$5:$A$504,"&lt;="&amp;A144),""))</f>
        <v/>
      </c>
      <c r="D144" s="17" t="str">
        <f aca="false">IF(OR(C144="",COUNTIFS($A$5:$A$504,"&gt;="&amp;A144-13,$A$5:$A$504,"&lt;="&amp;A144-7)=0),"",C144-AVERAGEIFS($B$5:$B$504,$A$5:$A$504,"&gt;="&amp;A144-13,$A$5:$A$504,"&lt;="&amp;A144-7))</f>
        <v/>
      </c>
      <c r="E144" s="18" t="str">
        <f aca="false">IF(D144="","",IF(AND(D144&gt;=0.2,D144&lt;=0.35),"On target — change nothing",IF(D144&lt;0.2,"Gaining too slowly — add 200 kcal to training days","Gaining too fast — cut 200 kcal from training days")))</f>
        <v/>
      </c>
    </row>
    <row r="145" customFormat="false" ht="15" hidden="false" customHeight="false" outlineLevel="0" collapsed="false">
      <c r="A145" s="19"/>
      <c r="B145" s="20"/>
      <c r="C145" s="16" t="str">
        <f aca="false">IF(B145="","",IFERROR(AVERAGEIFS($B$5:$B$504,$A$5:$A$504,"&gt;="&amp;A145-6,$A$5:$A$504,"&lt;="&amp;A145),""))</f>
        <v/>
      </c>
      <c r="D145" s="17" t="str">
        <f aca="false">IF(OR(C145="",COUNTIFS($A$5:$A$504,"&gt;="&amp;A145-13,$A$5:$A$504,"&lt;="&amp;A145-7)=0),"",C145-AVERAGEIFS($B$5:$B$504,$A$5:$A$504,"&gt;="&amp;A145-13,$A$5:$A$504,"&lt;="&amp;A145-7))</f>
        <v/>
      </c>
      <c r="E145" s="18" t="str">
        <f aca="false">IF(D145="","",IF(AND(D145&gt;=0.2,D145&lt;=0.35),"On target — change nothing",IF(D145&lt;0.2,"Gaining too slowly — add 200 kcal to training days","Gaining too fast — cut 200 kcal from training days")))</f>
        <v/>
      </c>
    </row>
    <row r="146" customFormat="false" ht="15" hidden="false" customHeight="false" outlineLevel="0" collapsed="false">
      <c r="A146" s="19"/>
      <c r="B146" s="20"/>
      <c r="C146" s="16" t="str">
        <f aca="false">IF(B146="","",IFERROR(AVERAGEIFS($B$5:$B$504,$A$5:$A$504,"&gt;="&amp;A146-6,$A$5:$A$504,"&lt;="&amp;A146),""))</f>
        <v/>
      </c>
      <c r="D146" s="17" t="str">
        <f aca="false">IF(OR(C146="",COUNTIFS($A$5:$A$504,"&gt;="&amp;A146-13,$A$5:$A$504,"&lt;="&amp;A146-7)=0),"",C146-AVERAGEIFS($B$5:$B$504,$A$5:$A$504,"&gt;="&amp;A146-13,$A$5:$A$504,"&lt;="&amp;A146-7))</f>
        <v/>
      </c>
      <c r="E146" s="18" t="str">
        <f aca="false">IF(D146="","",IF(AND(D146&gt;=0.2,D146&lt;=0.35),"On target — change nothing",IF(D146&lt;0.2,"Gaining too slowly — add 200 kcal to training days","Gaining too fast — cut 200 kcal from training days")))</f>
        <v/>
      </c>
    </row>
    <row r="147" customFormat="false" ht="15" hidden="false" customHeight="false" outlineLevel="0" collapsed="false">
      <c r="A147" s="19"/>
      <c r="B147" s="20"/>
      <c r="C147" s="16" t="str">
        <f aca="false">IF(B147="","",IFERROR(AVERAGEIFS($B$5:$B$504,$A$5:$A$504,"&gt;="&amp;A147-6,$A$5:$A$504,"&lt;="&amp;A147),""))</f>
        <v/>
      </c>
      <c r="D147" s="17" t="str">
        <f aca="false">IF(OR(C147="",COUNTIFS($A$5:$A$504,"&gt;="&amp;A147-13,$A$5:$A$504,"&lt;="&amp;A147-7)=0),"",C147-AVERAGEIFS($B$5:$B$504,$A$5:$A$504,"&gt;="&amp;A147-13,$A$5:$A$504,"&lt;="&amp;A147-7))</f>
        <v/>
      </c>
      <c r="E147" s="18" t="str">
        <f aca="false">IF(D147="","",IF(AND(D147&gt;=0.2,D147&lt;=0.35),"On target — change nothing",IF(D147&lt;0.2,"Gaining too slowly — add 200 kcal to training days","Gaining too fast — cut 200 kcal from training days")))</f>
        <v/>
      </c>
    </row>
    <row r="148" customFormat="false" ht="15" hidden="false" customHeight="false" outlineLevel="0" collapsed="false">
      <c r="A148" s="19"/>
      <c r="B148" s="20"/>
      <c r="C148" s="16" t="str">
        <f aca="false">IF(B148="","",IFERROR(AVERAGEIFS($B$5:$B$504,$A$5:$A$504,"&gt;="&amp;A148-6,$A$5:$A$504,"&lt;="&amp;A148),""))</f>
        <v/>
      </c>
      <c r="D148" s="17" t="str">
        <f aca="false">IF(OR(C148="",COUNTIFS($A$5:$A$504,"&gt;="&amp;A148-13,$A$5:$A$504,"&lt;="&amp;A148-7)=0),"",C148-AVERAGEIFS($B$5:$B$504,$A$5:$A$504,"&gt;="&amp;A148-13,$A$5:$A$504,"&lt;="&amp;A148-7))</f>
        <v/>
      </c>
      <c r="E148" s="18" t="str">
        <f aca="false">IF(D148="","",IF(AND(D148&gt;=0.2,D148&lt;=0.35),"On target — change nothing",IF(D148&lt;0.2,"Gaining too slowly — add 200 kcal to training days","Gaining too fast — cut 200 kcal from training days")))</f>
        <v/>
      </c>
    </row>
    <row r="149" customFormat="false" ht="15" hidden="false" customHeight="false" outlineLevel="0" collapsed="false">
      <c r="A149" s="19"/>
      <c r="B149" s="20"/>
      <c r="C149" s="16" t="str">
        <f aca="false">IF(B149="","",IFERROR(AVERAGEIFS($B$5:$B$504,$A$5:$A$504,"&gt;="&amp;A149-6,$A$5:$A$504,"&lt;="&amp;A149),""))</f>
        <v/>
      </c>
      <c r="D149" s="17" t="str">
        <f aca="false">IF(OR(C149="",COUNTIFS($A$5:$A$504,"&gt;="&amp;A149-13,$A$5:$A$504,"&lt;="&amp;A149-7)=0),"",C149-AVERAGEIFS($B$5:$B$504,$A$5:$A$504,"&gt;="&amp;A149-13,$A$5:$A$504,"&lt;="&amp;A149-7))</f>
        <v/>
      </c>
      <c r="E149" s="18" t="str">
        <f aca="false">IF(D149="","",IF(AND(D149&gt;=0.2,D149&lt;=0.35),"On target — change nothing",IF(D149&lt;0.2,"Gaining too slowly — add 200 kcal to training days","Gaining too fast — cut 200 kcal from training days")))</f>
        <v/>
      </c>
    </row>
    <row r="150" customFormat="false" ht="15" hidden="false" customHeight="false" outlineLevel="0" collapsed="false">
      <c r="A150" s="19"/>
      <c r="B150" s="20"/>
      <c r="C150" s="16" t="str">
        <f aca="false">IF(B150="","",IFERROR(AVERAGEIFS($B$5:$B$504,$A$5:$A$504,"&gt;="&amp;A150-6,$A$5:$A$504,"&lt;="&amp;A150),""))</f>
        <v/>
      </c>
      <c r="D150" s="17" t="str">
        <f aca="false">IF(OR(C150="",COUNTIFS($A$5:$A$504,"&gt;="&amp;A150-13,$A$5:$A$504,"&lt;="&amp;A150-7)=0),"",C150-AVERAGEIFS($B$5:$B$504,$A$5:$A$504,"&gt;="&amp;A150-13,$A$5:$A$504,"&lt;="&amp;A150-7))</f>
        <v/>
      </c>
      <c r="E150" s="18" t="str">
        <f aca="false">IF(D150="","",IF(AND(D150&gt;=0.2,D150&lt;=0.35),"On target — change nothing",IF(D150&lt;0.2,"Gaining too slowly — add 200 kcal to training days","Gaining too fast — cut 200 kcal from training days")))</f>
        <v/>
      </c>
    </row>
    <row r="151" customFormat="false" ht="15" hidden="false" customHeight="false" outlineLevel="0" collapsed="false">
      <c r="A151" s="19"/>
      <c r="B151" s="20"/>
      <c r="C151" s="16" t="str">
        <f aca="false">IF(B151="","",IFERROR(AVERAGEIFS($B$5:$B$504,$A$5:$A$504,"&gt;="&amp;A151-6,$A$5:$A$504,"&lt;="&amp;A151),""))</f>
        <v/>
      </c>
      <c r="D151" s="17" t="str">
        <f aca="false">IF(OR(C151="",COUNTIFS($A$5:$A$504,"&gt;="&amp;A151-13,$A$5:$A$504,"&lt;="&amp;A151-7)=0),"",C151-AVERAGEIFS($B$5:$B$504,$A$5:$A$504,"&gt;="&amp;A151-13,$A$5:$A$504,"&lt;="&amp;A151-7))</f>
        <v/>
      </c>
      <c r="E151" s="18" t="str">
        <f aca="false">IF(D151="","",IF(AND(D151&gt;=0.2,D151&lt;=0.35),"On target — change nothing",IF(D151&lt;0.2,"Gaining too slowly — add 200 kcal to training days","Gaining too fast — cut 200 kcal from training days")))</f>
        <v/>
      </c>
    </row>
    <row r="152" customFormat="false" ht="15" hidden="false" customHeight="false" outlineLevel="0" collapsed="false">
      <c r="A152" s="19"/>
      <c r="B152" s="20"/>
      <c r="C152" s="16" t="str">
        <f aca="false">IF(B152="","",IFERROR(AVERAGEIFS($B$5:$B$504,$A$5:$A$504,"&gt;="&amp;A152-6,$A$5:$A$504,"&lt;="&amp;A152),""))</f>
        <v/>
      </c>
      <c r="D152" s="17" t="str">
        <f aca="false">IF(OR(C152="",COUNTIFS($A$5:$A$504,"&gt;="&amp;A152-13,$A$5:$A$504,"&lt;="&amp;A152-7)=0),"",C152-AVERAGEIFS($B$5:$B$504,$A$5:$A$504,"&gt;="&amp;A152-13,$A$5:$A$504,"&lt;="&amp;A152-7))</f>
        <v/>
      </c>
      <c r="E152" s="18" t="str">
        <f aca="false">IF(D152="","",IF(AND(D152&gt;=0.2,D152&lt;=0.35),"On target — change nothing",IF(D152&lt;0.2,"Gaining too slowly — add 200 kcal to training days","Gaining too fast — cut 200 kcal from training days")))</f>
        <v/>
      </c>
    </row>
    <row r="153" customFormat="false" ht="15" hidden="false" customHeight="false" outlineLevel="0" collapsed="false">
      <c r="A153" s="19"/>
      <c r="B153" s="20"/>
      <c r="C153" s="16" t="str">
        <f aca="false">IF(B153="","",IFERROR(AVERAGEIFS($B$5:$B$504,$A$5:$A$504,"&gt;="&amp;A153-6,$A$5:$A$504,"&lt;="&amp;A153),""))</f>
        <v/>
      </c>
      <c r="D153" s="17" t="str">
        <f aca="false">IF(OR(C153="",COUNTIFS($A$5:$A$504,"&gt;="&amp;A153-13,$A$5:$A$504,"&lt;="&amp;A153-7)=0),"",C153-AVERAGEIFS($B$5:$B$504,$A$5:$A$504,"&gt;="&amp;A153-13,$A$5:$A$504,"&lt;="&amp;A153-7))</f>
        <v/>
      </c>
      <c r="E153" s="18" t="str">
        <f aca="false">IF(D153="","",IF(AND(D153&gt;=0.2,D153&lt;=0.35),"On target — change nothing",IF(D153&lt;0.2,"Gaining too slowly — add 200 kcal to training days","Gaining too fast — cut 200 kcal from training days")))</f>
        <v/>
      </c>
    </row>
    <row r="154" customFormat="false" ht="15" hidden="false" customHeight="false" outlineLevel="0" collapsed="false">
      <c r="A154" s="19"/>
      <c r="B154" s="20"/>
      <c r="C154" s="16" t="str">
        <f aca="false">IF(B154="","",IFERROR(AVERAGEIFS($B$5:$B$504,$A$5:$A$504,"&gt;="&amp;A154-6,$A$5:$A$504,"&lt;="&amp;A154),""))</f>
        <v/>
      </c>
      <c r="D154" s="17" t="str">
        <f aca="false">IF(OR(C154="",COUNTIFS($A$5:$A$504,"&gt;="&amp;A154-13,$A$5:$A$504,"&lt;="&amp;A154-7)=0),"",C154-AVERAGEIFS($B$5:$B$504,$A$5:$A$504,"&gt;="&amp;A154-13,$A$5:$A$504,"&lt;="&amp;A154-7))</f>
        <v/>
      </c>
      <c r="E154" s="18" t="str">
        <f aca="false">IF(D154="","",IF(AND(D154&gt;=0.2,D154&lt;=0.35),"On target — change nothing",IF(D154&lt;0.2,"Gaining too slowly — add 200 kcal to training days","Gaining too fast — cut 200 kcal from training days")))</f>
        <v/>
      </c>
    </row>
    <row r="155" customFormat="false" ht="15" hidden="false" customHeight="false" outlineLevel="0" collapsed="false">
      <c r="A155" s="19"/>
      <c r="B155" s="20"/>
      <c r="C155" s="16" t="str">
        <f aca="false">IF(B155="","",IFERROR(AVERAGEIFS($B$5:$B$504,$A$5:$A$504,"&gt;="&amp;A155-6,$A$5:$A$504,"&lt;="&amp;A155),""))</f>
        <v/>
      </c>
      <c r="D155" s="17" t="str">
        <f aca="false">IF(OR(C155="",COUNTIFS($A$5:$A$504,"&gt;="&amp;A155-13,$A$5:$A$504,"&lt;="&amp;A155-7)=0),"",C155-AVERAGEIFS($B$5:$B$504,$A$5:$A$504,"&gt;="&amp;A155-13,$A$5:$A$504,"&lt;="&amp;A155-7))</f>
        <v/>
      </c>
      <c r="E155" s="18" t="str">
        <f aca="false">IF(D155="","",IF(AND(D155&gt;=0.2,D155&lt;=0.35),"On target — change nothing",IF(D155&lt;0.2,"Gaining too slowly — add 200 kcal to training days","Gaining too fast — cut 200 kcal from training days")))</f>
        <v/>
      </c>
    </row>
    <row r="156" customFormat="false" ht="15" hidden="false" customHeight="false" outlineLevel="0" collapsed="false">
      <c r="A156" s="19"/>
      <c r="B156" s="20"/>
      <c r="C156" s="16" t="str">
        <f aca="false">IF(B156="","",IFERROR(AVERAGEIFS($B$5:$B$504,$A$5:$A$504,"&gt;="&amp;A156-6,$A$5:$A$504,"&lt;="&amp;A156),""))</f>
        <v/>
      </c>
      <c r="D156" s="17" t="str">
        <f aca="false">IF(OR(C156="",COUNTIFS($A$5:$A$504,"&gt;="&amp;A156-13,$A$5:$A$504,"&lt;="&amp;A156-7)=0),"",C156-AVERAGEIFS($B$5:$B$504,$A$5:$A$504,"&gt;="&amp;A156-13,$A$5:$A$504,"&lt;="&amp;A156-7))</f>
        <v/>
      </c>
      <c r="E156" s="18" t="str">
        <f aca="false">IF(D156="","",IF(AND(D156&gt;=0.2,D156&lt;=0.35),"On target — change nothing",IF(D156&lt;0.2,"Gaining too slowly — add 200 kcal to training days","Gaining too fast — cut 200 kcal from training days")))</f>
        <v/>
      </c>
    </row>
    <row r="157" customFormat="false" ht="15" hidden="false" customHeight="false" outlineLevel="0" collapsed="false">
      <c r="A157" s="19"/>
      <c r="B157" s="20"/>
      <c r="C157" s="16" t="str">
        <f aca="false">IF(B157="","",IFERROR(AVERAGEIFS($B$5:$B$504,$A$5:$A$504,"&gt;="&amp;A157-6,$A$5:$A$504,"&lt;="&amp;A157),""))</f>
        <v/>
      </c>
      <c r="D157" s="17" t="str">
        <f aca="false">IF(OR(C157="",COUNTIFS($A$5:$A$504,"&gt;="&amp;A157-13,$A$5:$A$504,"&lt;="&amp;A157-7)=0),"",C157-AVERAGEIFS($B$5:$B$504,$A$5:$A$504,"&gt;="&amp;A157-13,$A$5:$A$504,"&lt;="&amp;A157-7))</f>
        <v/>
      </c>
      <c r="E157" s="18" t="str">
        <f aca="false">IF(D157="","",IF(AND(D157&gt;=0.2,D157&lt;=0.35),"On target — change nothing",IF(D157&lt;0.2,"Gaining too slowly — add 200 kcal to training days","Gaining too fast — cut 200 kcal from training days")))</f>
        <v/>
      </c>
    </row>
    <row r="158" customFormat="false" ht="15" hidden="false" customHeight="false" outlineLevel="0" collapsed="false">
      <c r="A158" s="19"/>
      <c r="B158" s="20"/>
      <c r="C158" s="16" t="str">
        <f aca="false">IF(B158="","",IFERROR(AVERAGEIFS($B$5:$B$504,$A$5:$A$504,"&gt;="&amp;A158-6,$A$5:$A$504,"&lt;="&amp;A158),""))</f>
        <v/>
      </c>
      <c r="D158" s="17" t="str">
        <f aca="false">IF(OR(C158="",COUNTIFS($A$5:$A$504,"&gt;="&amp;A158-13,$A$5:$A$504,"&lt;="&amp;A158-7)=0),"",C158-AVERAGEIFS($B$5:$B$504,$A$5:$A$504,"&gt;="&amp;A158-13,$A$5:$A$504,"&lt;="&amp;A158-7))</f>
        <v/>
      </c>
      <c r="E158" s="18" t="str">
        <f aca="false">IF(D158="","",IF(AND(D158&gt;=0.2,D158&lt;=0.35),"On target — change nothing",IF(D158&lt;0.2,"Gaining too slowly — add 200 kcal to training days","Gaining too fast — cut 200 kcal from training days")))</f>
        <v/>
      </c>
    </row>
    <row r="159" customFormat="false" ht="15" hidden="false" customHeight="false" outlineLevel="0" collapsed="false">
      <c r="A159" s="19"/>
      <c r="B159" s="20"/>
      <c r="C159" s="16" t="str">
        <f aca="false">IF(B159="","",IFERROR(AVERAGEIFS($B$5:$B$504,$A$5:$A$504,"&gt;="&amp;A159-6,$A$5:$A$504,"&lt;="&amp;A159),""))</f>
        <v/>
      </c>
      <c r="D159" s="17" t="str">
        <f aca="false">IF(OR(C159="",COUNTIFS($A$5:$A$504,"&gt;="&amp;A159-13,$A$5:$A$504,"&lt;="&amp;A159-7)=0),"",C159-AVERAGEIFS($B$5:$B$504,$A$5:$A$504,"&gt;="&amp;A159-13,$A$5:$A$504,"&lt;="&amp;A159-7))</f>
        <v/>
      </c>
      <c r="E159" s="18" t="str">
        <f aca="false">IF(D159="","",IF(AND(D159&gt;=0.2,D159&lt;=0.35),"On target — change nothing",IF(D159&lt;0.2,"Gaining too slowly — add 200 kcal to training days","Gaining too fast — cut 200 kcal from training days")))</f>
        <v/>
      </c>
    </row>
    <row r="160" customFormat="false" ht="15" hidden="false" customHeight="false" outlineLevel="0" collapsed="false">
      <c r="A160" s="19"/>
      <c r="B160" s="20"/>
      <c r="C160" s="16" t="str">
        <f aca="false">IF(B160="","",IFERROR(AVERAGEIFS($B$5:$B$504,$A$5:$A$504,"&gt;="&amp;A160-6,$A$5:$A$504,"&lt;="&amp;A160),""))</f>
        <v/>
      </c>
      <c r="D160" s="17" t="str">
        <f aca="false">IF(OR(C160="",COUNTIFS($A$5:$A$504,"&gt;="&amp;A160-13,$A$5:$A$504,"&lt;="&amp;A160-7)=0),"",C160-AVERAGEIFS($B$5:$B$504,$A$5:$A$504,"&gt;="&amp;A160-13,$A$5:$A$504,"&lt;="&amp;A160-7))</f>
        <v/>
      </c>
      <c r="E160" s="18" t="str">
        <f aca="false">IF(D160="","",IF(AND(D160&gt;=0.2,D160&lt;=0.35),"On target — change nothing",IF(D160&lt;0.2,"Gaining too slowly — add 200 kcal to training days","Gaining too fast — cut 200 kcal from training days")))</f>
        <v/>
      </c>
    </row>
    <row r="161" customFormat="false" ht="15" hidden="false" customHeight="false" outlineLevel="0" collapsed="false">
      <c r="A161" s="19"/>
      <c r="B161" s="20"/>
      <c r="C161" s="16" t="str">
        <f aca="false">IF(B161="","",IFERROR(AVERAGEIFS($B$5:$B$504,$A$5:$A$504,"&gt;="&amp;A161-6,$A$5:$A$504,"&lt;="&amp;A161),""))</f>
        <v/>
      </c>
      <c r="D161" s="17" t="str">
        <f aca="false">IF(OR(C161="",COUNTIFS($A$5:$A$504,"&gt;="&amp;A161-13,$A$5:$A$504,"&lt;="&amp;A161-7)=0),"",C161-AVERAGEIFS($B$5:$B$504,$A$5:$A$504,"&gt;="&amp;A161-13,$A$5:$A$504,"&lt;="&amp;A161-7))</f>
        <v/>
      </c>
      <c r="E161" s="18" t="str">
        <f aca="false">IF(D161="","",IF(AND(D161&gt;=0.2,D161&lt;=0.35),"On target — change nothing",IF(D161&lt;0.2,"Gaining too slowly — add 200 kcal to training days","Gaining too fast — cut 200 kcal from training days")))</f>
        <v/>
      </c>
    </row>
    <row r="162" customFormat="false" ht="15" hidden="false" customHeight="false" outlineLevel="0" collapsed="false">
      <c r="A162" s="19"/>
      <c r="B162" s="20"/>
      <c r="C162" s="16" t="str">
        <f aca="false">IF(B162="","",IFERROR(AVERAGEIFS($B$5:$B$504,$A$5:$A$504,"&gt;="&amp;A162-6,$A$5:$A$504,"&lt;="&amp;A162),""))</f>
        <v/>
      </c>
      <c r="D162" s="17" t="str">
        <f aca="false">IF(OR(C162="",COUNTIFS($A$5:$A$504,"&gt;="&amp;A162-13,$A$5:$A$504,"&lt;="&amp;A162-7)=0),"",C162-AVERAGEIFS($B$5:$B$504,$A$5:$A$504,"&gt;="&amp;A162-13,$A$5:$A$504,"&lt;="&amp;A162-7))</f>
        <v/>
      </c>
      <c r="E162" s="18" t="str">
        <f aca="false">IF(D162="","",IF(AND(D162&gt;=0.2,D162&lt;=0.35),"On target — change nothing",IF(D162&lt;0.2,"Gaining too slowly — add 200 kcal to training days","Gaining too fast — cut 200 kcal from training days")))</f>
        <v/>
      </c>
    </row>
    <row r="163" customFormat="false" ht="15" hidden="false" customHeight="false" outlineLevel="0" collapsed="false">
      <c r="A163" s="19"/>
      <c r="B163" s="20"/>
      <c r="C163" s="16" t="str">
        <f aca="false">IF(B163="","",IFERROR(AVERAGEIFS($B$5:$B$504,$A$5:$A$504,"&gt;="&amp;A163-6,$A$5:$A$504,"&lt;="&amp;A163),""))</f>
        <v/>
      </c>
      <c r="D163" s="17" t="str">
        <f aca="false">IF(OR(C163="",COUNTIFS($A$5:$A$504,"&gt;="&amp;A163-13,$A$5:$A$504,"&lt;="&amp;A163-7)=0),"",C163-AVERAGEIFS($B$5:$B$504,$A$5:$A$504,"&gt;="&amp;A163-13,$A$5:$A$504,"&lt;="&amp;A163-7))</f>
        <v/>
      </c>
      <c r="E163" s="18" t="str">
        <f aca="false">IF(D163="","",IF(AND(D163&gt;=0.2,D163&lt;=0.35),"On target — change nothing",IF(D163&lt;0.2,"Gaining too slowly — add 200 kcal to training days","Gaining too fast — cut 200 kcal from training days")))</f>
        <v/>
      </c>
    </row>
    <row r="164" customFormat="false" ht="15" hidden="false" customHeight="false" outlineLevel="0" collapsed="false">
      <c r="A164" s="19"/>
      <c r="B164" s="20"/>
      <c r="C164" s="16" t="str">
        <f aca="false">IF(B164="","",IFERROR(AVERAGEIFS($B$5:$B$504,$A$5:$A$504,"&gt;="&amp;A164-6,$A$5:$A$504,"&lt;="&amp;A164),""))</f>
        <v/>
      </c>
      <c r="D164" s="17" t="str">
        <f aca="false">IF(OR(C164="",COUNTIFS($A$5:$A$504,"&gt;="&amp;A164-13,$A$5:$A$504,"&lt;="&amp;A164-7)=0),"",C164-AVERAGEIFS($B$5:$B$504,$A$5:$A$504,"&gt;="&amp;A164-13,$A$5:$A$504,"&lt;="&amp;A164-7))</f>
        <v/>
      </c>
      <c r="E164" s="18" t="str">
        <f aca="false">IF(D164="","",IF(AND(D164&gt;=0.2,D164&lt;=0.35),"On target — change nothing",IF(D164&lt;0.2,"Gaining too slowly — add 200 kcal to training days","Gaining too fast — cut 200 kcal from training days")))</f>
        <v/>
      </c>
    </row>
    <row r="165" customFormat="false" ht="15" hidden="false" customHeight="false" outlineLevel="0" collapsed="false">
      <c r="A165" s="19"/>
      <c r="B165" s="20"/>
      <c r="C165" s="16" t="str">
        <f aca="false">IF(B165="","",IFERROR(AVERAGEIFS($B$5:$B$504,$A$5:$A$504,"&gt;="&amp;A165-6,$A$5:$A$504,"&lt;="&amp;A165),""))</f>
        <v/>
      </c>
      <c r="D165" s="17" t="str">
        <f aca="false">IF(OR(C165="",COUNTIFS($A$5:$A$504,"&gt;="&amp;A165-13,$A$5:$A$504,"&lt;="&amp;A165-7)=0),"",C165-AVERAGEIFS($B$5:$B$504,$A$5:$A$504,"&gt;="&amp;A165-13,$A$5:$A$504,"&lt;="&amp;A165-7))</f>
        <v/>
      </c>
      <c r="E165" s="18" t="str">
        <f aca="false">IF(D165="","",IF(AND(D165&gt;=0.2,D165&lt;=0.35),"On target — change nothing",IF(D165&lt;0.2,"Gaining too slowly — add 200 kcal to training days","Gaining too fast — cut 200 kcal from training days")))</f>
        <v/>
      </c>
    </row>
    <row r="166" customFormat="false" ht="15" hidden="false" customHeight="false" outlineLevel="0" collapsed="false">
      <c r="A166" s="19"/>
      <c r="B166" s="20"/>
      <c r="C166" s="16" t="str">
        <f aca="false">IF(B166="","",IFERROR(AVERAGEIFS($B$5:$B$504,$A$5:$A$504,"&gt;="&amp;A166-6,$A$5:$A$504,"&lt;="&amp;A166),""))</f>
        <v/>
      </c>
      <c r="D166" s="17" t="str">
        <f aca="false">IF(OR(C166="",COUNTIFS($A$5:$A$504,"&gt;="&amp;A166-13,$A$5:$A$504,"&lt;="&amp;A166-7)=0),"",C166-AVERAGEIFS($B$5:$B$504,$A$5:$A$504,"&gt;="&amp;A166-13,$A$5:$A$504,"&lt;="&amp;A166-7))</f>
        <v/>
      </c>
      <c r="E166" s="18" t="str">
        <f aca="false">IF(D166="","",IF(AND(D166&gt;=0.2,D166&lt;=0.35),"On target — change nothing",IF(D166&lt;0.2,"Gaining too slowly — add 200 kcal to training days","Gaining too fast — cut 200 kcal from training days")))</f>
        <v/>
      </c>
    </row>
    <row r="167" customFormat="false" ht="15" hidden="false" customHeight="false" outlineLevel="0" collapsed="false">
      <c r="A167" s="19"/>
      <c r="B167" s="20"/>
      <c r="C167" s="16" t="str">
        <f aca="false">IF(B167="","",IFERROR(AVERAGEIFS($B$5:$B$504,$A$5:$A$504,"&gt;="&amp;A167-6,$A$5:$A$504,"&lt;="&amp;A167),""))</f>
        <v/>
      </c>
      <c r="D167" s="17" t="str">
        <f aca="false">IF(OR(C167="",COUNTIFS($A$5:$A$504,"&gt;="&amp;A167-13,$A$5:$A$504,"&lt;="&amp;A167-7)=0),"",C167-AVERAGEIFS($B$5:$B$504,$A$5:$A$504,"&gt;="&amp;A167-13,$A$5:$A$504,"&lt;="&amp;A167-7))</f>
        <v/>
      </c>
      <c r="E167" s="18" t="str">
        <f aca="false">IF(D167="","",IF(AND(D167&gt;=0.2,D167&lt;=0.35),"On target — change nothing",IF(D167&lt;0.2,"Gaining too slowly — add 200 kcal to training days","Gaining too fast — cut 200 kcal from training days")))</f>
        <v/>
      </c>
    </row>
    <row r="168" customFormat="false" ht="15" hidden="false" customHeight="false" outlineLevel="0" collapsed="false">
      <c r="A168" s="19"/>
      <c r="B168" s="20"/>
      <c r="C168" s="16" t="str">
        <f aca="false">IF(B168="","",IFERROR(AVERAGEIFS($B$5:$B$504,$A$5:$A$504,"&gt;="&amp;A168-6,$A$5:$A$504,"&lt;="&amp;A168),""))</f>
        <v/>
      </c>
      <c r="D168" s="17" t="str">
        <f aca="false">IF(OR(C168="",COUNTIFS($A$5:$A$504,"&gt;="&amp;A168-13,$A$5:$A$504,"&lt;="&amp;A168-7)=0),"",C168-AVERAGEIFS($B$5:$B$504,$A$5:$A$504,"&gt;="&amp;A168-13,$A$5:$A$504,"&lt;="&amp;A168-7))</f>
        <v/>
      </c>
      <c r="E168" s="18" t="str">
        <f aca="false">IF(D168="","",IF(AND(D168&gt;=0.2,D168&lt;=0.35),"On target — change nothing",IF(D168&lt;0.2,"Gaining too slowly — add 200 kcal to training days","Gaining too fast — cut 200 kcal from training days")))</f>
        <v/>
      </c>
    </row>
    <row r="169" customFormat="false" ht="15" hidden="false" customHeight="false" outlineLevel="0" collapsed="false">
      <c r="A169" s="19"/>
      <c r="B169" s="20"/>
      <c r="C169" s="16" t="str">
        <f aca="false">IF(B169="","",IFERROR(AVERAGEIFS($B$5:$B$504,$A$5:$A$504,"&gt;="&amp;A169-6,$A$5:$A$504,"&lt;="&amp;A169),""))</f>
        <v/>
      </c>
      <c r="D169" s="17" t="str">
        <f aca="false">IF(OR(C169="",COUNTIFS($A$5:$A$504,"&gt;="&amp;A169-13,$A$5:$A$504,"&lt;="&amp;A169-7)=0),"",C169-AVERAGEIFS($B$5:$B$504,$A$5:$A$504,"&gt;="&amp;A169-13,$A$5:$A$504,"&lt;="&amp;A169-7))</f>
        <v/>
      </c>
      <c r="E169" s="18" t="str">
        <f aca="false">IF(D169="","",IF(AND(D169&gt;=0.2,D169&lt;=0.35),"On target — change nothing",IF(D169&lt;0.2,"Gaining too slowly — add 200 kcal to training days","Gaining too fast — cut 200 kcal from training days")))</f>
        <v/>
      </c>
    </row>
    <row r="170" customFormat="false" ht="15" hidden="false" customHeight="false" outlineLevel="0" collapsed="false">
      <c r="A170" s="19"/>
      <c r="B170" s="20"/>
      <c r="C170" s="16" t="str">
        <f aca="false">IF(B170="","",IFERROR(AVERAGEIFS($B$5:$B$504,$A$5:$A$504,"&gt;="&amp;A170-6,$A$5:$A$504,"&lt;="&amp;A170),""))</f>
        <v/>
      </c>
      <c r="D170" s="17" t="str">
        <f aca="false">IF(OR(C170="",COUNTIFS($A$5:$A$504,"&gt;="&amp;A170-13,$A$5:$A$504,"&lt;="&amp;A170-7)=0),"",C170-AVERAGEIFS($B$5:$B$504,$A$5:$A$504,"&gt;="&amp;A170-13,$A$5:$A$504,"&lt;="&amp;A170-7))</f>
        <v/>
      </c>
      <c r="E170" s="18" t="str">
        <f aca="false">IF(D170="","",IF(AND(D170&gt;=0.2,D170&lt;=0.35),"On target — change nothing",IF(D170&lt;0.2,"Gaining too slowly — add 200 kcal to training days","Gaining too fast — cut 200 kcal from training days")))</f>
        <v/>
      </c>
    </row>
    <row r="171" customFormat="false" ht="15" hidden="false" customHeight="false" outlineLevel="0" collapsed="false">
      <c r="A171" s="19"/>
      <c r="B171" s="20"/>
      <c r="C171" s="16" t="str">
        <f aca="false">IF(B171="","",IFERROR(AVERAGEIFS($B$5:$B$504,$A$5:$A$504,"&gt;="&amp;A171-6,$A$5:$A$504,"&lt;="&amp;A171),""))</f>
        <v/>
      </c>
      <c r="D171" s="17" t="str">
        <f aca="false">IF(OR(C171="",COUNTIFS($A$5:$A$504,"&gt;="&amp;A171-13,$A$5:$A$504,"&lt;="&amp;A171-7)=0),"",C171-AVERAGEIFS($B$5:$B$504,$A$5:$A$504,"&gt;="&amp;A171-13,$A$5:$A$504,"&lt;="&amp;A171-7))</f>
        <v/>
      </c>
      <c r="E171" s="18" t="str">
        <f aca="false">IF(D171="","",IF(AND(D171&gt;=0.2,D171&lt;=0.35),"On target — change nothing",IF(D171&lt;0.2,"Gaining too slowly — add 200 kcal to training days","Gaining too fast — cut 200 kcal from training days")))</f>
        <v/>
      </c>
    </row>
    <row r="172" customFormat="false" ht="15" hidden="false" customHeight="false" outlineLevel="0" collapsed="false">
      <c r="A172" s="19"/>
      <c r="B172" s="20"/>
      <c r="C172" s="16" t="str">
        <f aca="false">IF(B172="","",IFERROR(AVERAGEIFS($B$5:$B$504,$A$5:$A$504,"&gt;="&amp;A172-6,$A$5:$A$504,"&lt;="&amp;A172),""))</f>
        <v/>
      </c>
      <c r="D172" s="17" t="str">
        <f aca="false">IF(OR(C172="",COUNTIFS($A$5:$A$504,"&gt;="&amp;A172-13,$A$5:$A$504,"&lt;="&amp;A172-7)=0),"",C172-AVERAGEIFS($B$5:$B$504,$A$5:$A$504,"&gt;="&amp;A172-13,$A$5:$A$504,"&lt;="&amp;A172-7))</f>
        <v/>
      </c>
      <c r="E172" s="18" t="str">
        <f aca="false">IF(D172="","",IF(AND(D172&gt;=0.2,D172&lt;=0.35),"On target — change nothing",IF(D172&lt;0.2,"Gaining too slowly — add 200 kcal to training days","Gaining too fast — cut 200 kcal from training days")))</f>
        <v/>
      </c>
    </row>
    <row r="173" customFormat="false" ht="15" hidden="false" customHeight="false" outlineLevel="0" collapsed="false">
      <c r="A173" s="19"/>
      <c r="B173" s="20"/>
      <c r="C173" s="16" t="str">
        <f aca="false">IF(B173="","",IFERROR(AVERAGEIFS($B$5:$B$504,$A$5:$A$504,"&gt;="&amp;A173-6,$A$5:$A$504,"&lt;="&amp;A173),""))</f>
        <v/>
      </c>
      <c r="D173" s="17" t="str">
        <f aca="false">IF(OR(C173="",COUNTIFS($A$5:$A$504,"&gt;="&amp;A173-13,$A$5:$A$504,"&lt;="&amp;A173-7)=0),"",C173-AVERAGEIFS($B$5:$B$504,$A$5:$A$504,"&gt;="&amp;A173-13,$A$5:$A$504,"&lt;="&amp;A173-7))</f>
        <v/>
      </c>
      <c r="E173" s="18" t="str">
        <f aca="false">IF(D173="","",IF(AND(D173&gt;=0.2,D173&lt;=0.35),"On target — change nothing",IF(D173&lt;0.2,"Gaining too slowly — add 200 kcal to training days","Gaining too fast — cut 200 kcal from training days")))</f>
        <v/>
      </c>
    </row>
    <row r="174" customFormat="false" ht="15" hidden="false" customHeight="false" outlineLevel="0" collapsed="false">
      <c r="A174" s="19"/>
      <c r="B174" s="20"/>
      <c r="C174" s="16" t="str">
        <f aca="false">IF(B174="","",IFERROR(AVERAGEIFS($B$5:$B$504,$A$5:$A$504,"&gt;="&amp;A174-6,$A$5:$A$504,"&lt;="&amp;A174),""))</f>
        <v/>
      </c>
      <c r="D174" s="17" t="str">
        <f aca="false">IF(OR(C174="",COUNTIFS($A$5:$A$504,"&gt;="&amp;A174-13,$A$5:$A$504,"&lt;="&amp;A174-7)=0),"",C174-AVERAGEIFS($B$5:$B$504,$A$5:$A$504,"&gt;="&amp;A174-13,$A$5:$A$504,"&lt;="&amp;A174-7))</f>
        <v/>
      </c>
      <c r="E174" s="18" t="str">
        <f aca="false">IF(D174="","",IF(AND(D174&gt;=0.2,D174&lt;=0.35),"On target — change nothing",IF(D174&lt;0.2,"Gaining too slowly — add 200 kcal to training days","Gaining too fast — cut 200 kcal from training days")))</f>
        <v/>
      </c>
    </row>
    <row r="175" customFormat="false" ht="15" hidden="false" customHeight="false" outlineLevel="0" collapsed="false">
      <c r="A175" s="19"/>
      <c r="B175" s="20"/>
      <c r="C175" s="16" t="str">
        <f aca="false">IF(B175="","",IFERROR(AVERAGEIFS($B$5:$B$504,$A$5:$A$504,"&gt;="&amp;A175-6,$A$5:$A$504,"&lt;="&amp;A175),""))</f>
        <v/>
      </c>
      <c r="D175" s="17" t="str">
        <f aca="false">IF(OR(C175="",COUNTIFS($A$5:$A$504,"&gt;="&amp;A175-13,$A$5:$A$504,"&lt;="&amp;A175-7)=0),"",C175-AVERAGEIFS($B$5:$B$504,$A$5:$A$504,"&gt;="&amp;A175-13,$A$5:$A$504,"&lt;="&amp;A175-7))</f>
        <v/>
      </c>
      <c r="E175" s="18" t="str">
        <f aca="false">IF(D175="","",IF(AND(D175&gt;=0.2,D175&lt;=0.35),"On target — change nothing",IF(D175&lt;0.2,"Gaining too slowly — add 200 kcal to training days","Gaining too fast — cut 200 kcal from training days")))</f>
        <v/>
      </c>
    </row>
    <row r="176" customFormat="false" ht="15" hidden="false" customHeight="false" outlineLevel="0" collapsed="false">
      <c r="A176" s="19"/>
      <c r="B176" s="20"/>
      <c r="C176" s="16" t="str">
        <f aca="false">IF(B176="","",IFERROR(AVERAGEIFS($B$5:$B$504,$A$5:$A$504,"&gt;="&amp;A176-6,$A$5:$A$504,"&lt;="&amp;A176),""))</f>
        <v/>
      </c>
      <c r="D176" s="17" t="str">
        <f aca="false">IF(OR(C176="",COUNTIFS($A$5:$A$504,"&gt;="&amp;A176-13,$A$5:$A$504,"&lt;="&amp;A176-7)=0),"",C176-AVERAGEIFS($B$5:$B$504,$A$5:$A$504,"&gt;="&amp;A176-13,$A$5:$A$504,"&lt;="&amp;A176-7))</f>
        <v/>
      </c>
      <c r="E176" s="18" t="str">
        <f aca="false">IF(D176="","",IF(AND(D176&gt;=0.2,D176&lt;=0.35),"On target — change nothing",IF(D176&lt;0.2,"Gaining too slowly — add 200 kcal to training days","Gaining too fast — cut 200 kcal from training days")))</f>
        <v/>
      </c>
    </row>
    <row r="177" customFormat="false" ht="15" hidden="false" customHeight="false" outlineLevel="0" collapsed="false">
      <c r="A177" s="19"/>
      <c r="B177" s="20"/>
      <c r="C177" s="16" t="str">
        <f aca="false">IF(B177="","",IFERROR(AVERAGEIFS($B$5:$B$504,$A$5:$A$504,"&gt;="&amp;A177-6,$A$5:$A$504,"&lt;="&amp;A177),""))</f>
        <v/>
      </c>
      <c r="D177" s="17" t="str">
        <f aca="false">IF(OR(C177="",COUNTIFS($A$5:$A$504,"&gt;="&amp;A177-13,$A$5:$A$504,"&lt;="&amp;A177-7)=0),"",C177-AVERAGEIFS($B$5:$B$504,$A$5:$A$504,"&gt;="&amp;A177-13,$A$5:$A$504,"&lt;="&amp;A177-7))</f>
        <v/>
      </c>
      <c r="E177" s="18" t="str">
        <f aca="false">IF(D177="","",IF(AND(D177&gt;=0.2,D177&lt;=0.35),"On target — change nothing",IF(D177&lt;0.2,"Gaining too slowly — add 200 kcal to training days","Gaining too fast — cut 200 kcal from training days")))</f>
        <v/>
      </c>
    </row>
    <row r="178" customFormat="false" ht="15" hidden="false" customHeight="false" outlineLevel="0" collapsed="false">
      <c r="A178" s="19"/>
      <c r="B178" s="20"/>
      <c r="C178" s="16" t="str">
        <f aca="false">IF(B178="","",IFERROR(AVERAGEIFS($B$5:$B$504,$A$5:$A$504,"&gt;="&amp;A178-6,$A$5:$A$504,"&lt;="&amp;A178),""))</f>
        <v/>
      </c>
      <c r="D178" s="17" t="str">
        <f aca="false">IF(OR(C178="",COUNTIFS($A$5:$A$504,"&gt;="&amp;A178-13,$A$5:$A$504,"&lt;="&amp;A178-7)=0),"",C178-AVERAGEIFS($B$5:$B$504,$A$5:$A$504,"&gt;="&amp;A178-13,$A$5:$A$504,"&lt;="&amp;A178-7))</f>
        <v/>
      </c>
      <c r="E178" s="18" t="str">
        <f aca="false">IF(D178="","",IF(AND(D178&gt;=0.2,D178&lt;=0.35),"On target — change nothing",IF(D178&lt;0.2,"Gaining too slowly — add 200 kcal to training days","Gaining too fast — cut 200 kcal from training days")))</f>
        <v/>
      </c>
    </row>
    <row r="179" customFormat="false" ht="15" hidden="false" customHeight="false" outlineLevel="0" collapsed="false">
      <c r="A179" s="19"/>
      <c r="B179" s="20"/>
      <c r="C179" s="16" t="str">
        <f aca="false">IF(B179="","",IFERROR(AVERAGEIFS($B$5:$B$504,$A$5:$A$504,"&gt;="&amp;A179-6,$A$5:$A$504,"&lt;="&amp;A179),""))</f>
        <v/>
      </c>
      <c r="D179" s="17" t="str">
        <f aca="false">IF(OR(C179="",COUNTIFS($A$5:$A$504,"&gt;="&amp;A179-13,$A$5:$A$504,"&lt;="&amp;A179-7)=0),"",C179-AVERAGEIFS($B$5:$B$504,$A$5:$A$504,"&gt;="&amp;A179-13,$A$5:$A$504,"&lt;="&amp;A179-7))</f>
        <v/>
      </c>
      <c r="E179" s="18" t="str">
        <f aca="false">IF(D179="","",IF(AND(D179&gt;=0.2,D179&lt;=0.35),"On target — change nothing",IF(D179&lt;0.2,"Gaining too slowly — add 200 kcal to training days","Gaining too fast — cut 200 kcal from training days")))</f>
        <v/>
      </c>
    </row>
    <row r="180" customFormat="false" ht="15" hidden="false" customHeight="false" outlineLevel="0" collapsed="false">
      <c r="A180" s="19"/>
      <c r="B180" s="20"/>
      <c r="C180" s="16" t="str">
        <f aca="false">IF(B180="","",IFERROR(AVERAGEIFS($B$5:$B$504,$A$5:$A$504,"&gt;="&amp;A180-6,$A$5:$A$504,"&lt;="&amp;A180),""))</f>
        <v/>
      </c>
      <c r="D180" s="17" t="str">
        <f aca="false">IF(OR(C180="",COUNTIFS($A$5:$A$504,"&gt;="&amp;A180-13,$A$5:$A$504,"&lt;="&amp;A180-7)=0),"",C180-AVERAGEIFS($B$5:$B$504,$A$5:$A$504,"&gt;="&amp;A180-13,$A$5:$A$504,"&lt;="&amp;A180-7))</f>
        <v/>
      </c>
      <c r="E180" s="18" t="str">
        <f aca="false">IF(D180="","",IF(AND(D180&gt;=0.2,D180&lt;=0.35),"On target — change nothing",IF(D180&lt;0.2,"Gaining too slowly — add 200 kcal to training days","Gaining too fast — cut 200 kcal from training days")))</f>
        <v/>
      </c>
    </row>
    <row r="181" customFormat="false" ht="15" hidden="false" customHeight="false" outlineLevel="0" collapsed="false">
      <c r="A181" s="19"/>
      <c r="B181" s="20"/>
      <c r="C181" s="16" t="str">
        <f aca="false">IF(B181="","",IFERROR(AVERAGEIFS($B$5:$B$504,$A$5:$A$504,"&gt;="&amp;A181-6,$A$5:$A$504,"&lt;="&amp;A181),""))</f>
        <v/>
      </c>
      <c r="D181" s="17" t="str">
        <f aca="false">IF(OR(C181="",COUNTIFS($A$5:$A$504,"&gt;="&amp;A181-13,$A$5:$A$504,"&lt;="&amp;A181-7)=0),"",C181-AVERAGEIFS($B$5:$B$504,$A$5:$A$504,"&gt;="&amp;A181-13,$A$5:$A$504,"&lt;="&amp;A181-7))</f>
        <v/>
      </c>
      <c r="E181" s="18" t="str">
        <f aca="false">IF(D181="","",IF(AND(D181&gt;=0.2,D181&lt;=0.35),"On target — change nothing",IF(D181&lt;0.2,"Gaining too slowly — add 200 kcal to training days","Gaining too fast — cut 200 kcal from training days")))</f>
        <v/>
      </c>
    </row>
    <row r="182" customFormat="false" ht="15" hidden="false" customHeight="false" outlineLevel="0" collapsed="false">
      <c r="A182" s="19"/>
      <c r="B182" s="20"/>
      <c r="C182" s="16" t="str">
        <f aca="false">IF(B182="","",IFERROR(AVERAGEIFS($B$5:$B$504,$A$5:$A$504,"&gt;="&amp;A182-6,$A$5:$A$504,"&lt;="&amp;A182),""))</f>
        <v/>
      </c>
      <c r="D182" s="17" t="str">
        <f aca="false">IF(OR(C182="",COUNTIFS($A$5:$A$504,"&gt;="&amp;A182-13,$A$5:$A$504,"&lt;="&amp;A182-7)=0),"",C182-AVERAGEIFS($B$5:$B$504,$A$5:$A$504,"&gt;="&amp;A182-13,$A$5:$A$504,"&lt;="&amp;A182-7))</f>
        <v/>
      </c>
      <c r="E182" s="18" t="str">
        <f aca="false">IF(D182="","",IF(AND(D182&gt;=0.2,D182&lt;=0.35),"On target — change nothing",IF(D182&lt;0.2,"Gaining too slowly — add 200 kcal to training days","Gaining too fast — cut 200 kcal from training days")))</f>
        <v/>
      </c>
    </row>
    <row r="183" customFormat="false" ht="15" hidden="false" customHeight="false" outlineLevel="0" collapsed="false">
      <c r="A183" s="19"/>
      <c r="B183" s="20"/>
      <c r="C183" s="16" t="str">
        <f aca="false">IF(B183="","",IFERROR(AVERAGEIFS($B$5:$B$504,$A$5:$A$504,"&gt;="&amp;A183-6,$A$5:$A$504,"&lt;="&amp;A183),""))</f>
        <v/>
      </c>
      <c r="D183" s="17" t="str">
        <f aca="false">IF(OR(C183="",COUNTIFS($A$5:$A$504,"&gt;="&amp;A183-13,$A$5:$A$504,"&lt;="&amp;A183-7)=0),"",C183-AVERAGEIFS($B$5:$B$504,$A$5:$A$504,"&gt;="&amp;A183-13,$A$5:$A$504,"&lt;="&amp;A183-7))</f>
        <v/>
      </c>
      <c r="E183" s="18" t="str">
        <f aca="false">IF(D183="","",IF(AND(D183&gt;=0.2,D183&lt;=0.35),"On target — change nothing",IF(D183&lt;0.2,"Gaining too slowly — add 200 kcal to training days","Gaining too fast — cut 200 kcal from training days")))</f>
        <v/>
      </c>
    </row>
    <row r="184" customFormat="false" ht="15" hidden="false" customHeight="false" outlineLevel="0" collapsed="false">
      <c r="A184" s="19"/>
      <c r="B184" s="20"/>
      <c r="C184" s="16" t="str">
        <f aca="false">IF(B184="","",IFERROR(AVERAGEIFS($B$5:$B$504,$A$5:$A$504,"&gt;="&amp;A184-6,$A$5:$A$504,"&lt;="&amp;A184),""))</f>
        <v/>
      </c>
      <c r="D184" s="17" t="str">
        <f aca="false">IF(OR(C184="",COUNTIFS($A$5:$A$504,"&gt;="&amp;A184-13,$A$5:$A$504,"&lt;="&amp;A184-7)=0),"",C184-AVERAGEIFS($B$5:$B$504,$A$5:$A$504,"&gt;="&amp;A184-13,$A$5:$A$504,"&lt;="&amp;A184-7))</f>
        <v/>
      </c>
      <c r="E184" s="18" t="str">
        <f aca="false">IF(D184="","",IF(AND(D184&gt;=0.2,D184&lt;=0.35),"On target — change nothing",IF(D184&lt;0.2,"Gaining too slowly — add 200 kcal to training days","Gaining too fast — cut 200 kcal from training days")))</f>
        <v/>
      </c>
    </row>
    <row r="185" customFormat="false" ht="15" hidden="false" customHeight="false" outlineLevel="0" collapsed="false">
      <c r="A185" s="19"/>
      <c r="B185" s="20"/>
      <c r="C185" s="16" t="str">
        <f aca="false">IF(B185="","",IFERROR(AVERAGEIFS($B$5:$B$504,$A$5:$A$504,"&gt;="&amp;A185-6,$A$5:$A$504,"&lt;="&amp;A185),""))</f>
        <v/>
      </c>
      <c r="D185" s="17" t="str">
        <f aca="false">IF(OR(C185="",COUNTIFS($A$5:$A$504,"&gt;="&amp;A185-13,$A$5:$A$504,"&lt;="&amp;A185-7)=0),"",C185-AVERAGEIFS($B$5:$B$504,$A$5:$A$504,"&gt;="&amp;A185-13,$A$5:$A$504,"&lt;="&amp;A185-7))</f>
        <v/>
      </c>
      <c r="E185" s="18" t="str">
        <f aca="false">IF(D185="","",IF(AND(D185&gt;=0.2,D185&lt;=0.35),"On target — change nothing",IF(D185&lt;0.2,"Gaining too slowly — add 200 kcal to training days","Gaining too fast — cut 200 kcal from training days")))</f>
        <v/>
      </c>
    </row>
    <row r="186" customFormat="false" ht="15" hidden="false" customHeight="false" outlineLevel="0" collapsed="false">
      <c r="A186" s="19"/>
      <c r="B186" s="20"/>
      <c r="C186" s="16" t="str">
        <f aca="false">IF(B186="","",IFERROR(AVERAGEIFS($B$5:$B$504,$A$5:$A$504,"&gt;="&amp;A186-6,$A$5:$A$504,"&lt;="&amp;A186),""))</f>
        <v/>
      </c>
      <c r="D186" s="17" t="str">
        <f aca="false">IF(OR(C186="",COUNTIFS($A$5:$A$504,"&gt;="&amp;A186-13,$A$5:$A$504,"&lt;="&amp;A186-7)=0),"",C186-AVERAGEIFS($B$5:$B$504,$A$5:$A$504,"&gt;="&amp;A186-13,$A$5:$A$504,"&lt;="&amp;A186-7))</f>
        <v/>
      </c>
      <c r="E186" s="18" t="str">
        <f aca="false">IF(D186="","",IF(AND(D186&gt;=0.2,D186&lt;=0.35),"On target — change nothing",IF(D186&lt;0.2,"Gaining too slowly — add 200 kcal to training days","Gaining too fast — cut 200 kcal from training days")))</f>
        <v/>
      </c>
    </row>
    <row r="187" customFormat="false" ht="15" hidden="false" customHeight="false" outlineLevel="0" collapsed="false">
      <c r="A187" s="19"/>
      <c r="B187" s="20"/>
      <c r="C187" s="16" t="str">
        <f aca="false">IF(B187="","",IFERROR(AVERAGEIFS($B$5:$B$504,$A$5:$A$504,"&gt;="&amp;A187-6,$A$5:$A$504,"&lt;="&amp;A187),""))</f>
        <v/>
      </c>
      <c r="D187" s="17" t="str">
        <f aca="false">IF(OR(C187="",COUNTIFS($A$5:$A$504,"&gt;="&amp;A187-13,$A$5:$A$504,"&lt;="&amp;A187-7)=0),"",C187-AVERAGEIFS($B$5:$B$504,$A$5:$A$504,"&gt;="&amp;A187-13,$A$5:$A$504,"&lt;="&amp;A187-7))</f>
        <v/>
      </c>
      <c r="E187" s="18" t="str">
        <f aca="false">IF(D187="","",IF(AND(D187&gt;=0.2,D187&lt;=0.35),"On target — change nothing",IF(D187&lt;0.2,"Gaining too slowly — add 200 kcal to training days","Gaining too fast — cut 200 kcal from training days")))</f>
        <v/>
      </c>
    </row>
    <row r="188" customFormat="false" ht="15" hidden="false" customHeight="false" outlineLevel="0" collapsed="false">
      <c r="A188" s="19"/>
      <c r="B188" s="20"/>
      <c r="C188" s="16" t="str">
        <f aca="false">IF(B188="","",IFERROR(AVERAGEIFS($B$5:$B$504,$A$5:$A$504,"&gt;="&amp;A188-6,$A$5:$A$504,"&lt;="&amp;A188),""))</f>
        <v/>
      </c>
      <c r="D188" s="17" t="str">
        <f aca="false">IF(OR(C188="",COUNTIFS($A$5:$A$504,"&gt;="&amp;A188-13,$A$5:$A$504,"&lt;="&amp;A188-7)=0),"",C188-AVERAGEIFS($B$5:$B$504,$A$5:$A$504,"&gt;="&amp;A188-13,$A$5:$A$504,"&lt;="&amp;A188-7))</f>
        <v/>
      </c>
      <c r="E188" s="18" t="str">
        <f aca="false">IF(D188="","",IF(AND(D188&gt;=0.2,D188&lt;=0.35),"On target — change nothing",IF(D188&lt;0.2,"Gaining too slowly — add 200 kcal to training days","Gaining too fast — cut 200 kcal from training days")))</f>
        <v/>
      </c>
    </row>
    <row r="189" customFormat="false" ht="15" hidden="false" customHeight="false" outlineLevel="0" collapsed="false">
      <c r="A189" s="19"/>
      <c r="B189" s="20"/>
      <c r="C189" s="16" t="str">
        <f aca="false">IF(B189="","",IFERROR(AVERAGEIFS($B$5:$B$504,$A$5:$A$504,"&gt;="&amp;A189-6,$A$5:$A$504,"&lt;="&amp;A189),""))</f>
        <v/>
      </c>
      <c r="D189" s="17" t="str">
        <f aca="false">IF(OR(C189="",COUNTIFS($A$5:$A$504,"&gt;="&amp;A189-13,$A$5:$A$504,"&lt;="&amp;A189-7)=0),"",C189-AVERAGEIFS($B$5:$B$504,$A$5:$A$504,"&gt;="&amp;A189-13,$A$5:$A$504,"&lt;="&amp;A189-7))</f>
        <v/>
      </c>
      <c r="E189" s="18" t="str">
        <f aca="false">IF(D189="","",IF(AND(D189&gt;=0.2,D189&lt;=0.35),"On target — change nothing",IF(D189&lt;0.2,"Gaining too slowly — add 200 kcal to training days","Gaining too fast — cut 200 kcal from training days")))</f>
        <v/>
      </c>
    </row>
    <row r="190" customFormat="false" ht="15" hidden="false" customHeight="false" outlineLevel="0" collapsed="false">
      <c r="A190" s="19"/>
      <c r="B190" s="20"/>
      <c r="C190" s="16" t="str">
        <f aca="false">IF(B190="","",IFERROR(AVERAGEIFS($B$5:$B$504,$A$5:$A$504,"&gt;="&amp;A190-6,$A$5:$A$504,"&lt;="&amp;A190),""))</f>
        <v/>
      </c>
      <c r="D190" s="17" t="str">
        <f aca="false">IF(OR(C190="",COUNTIFS($A$5:$A$504,"&gt;="&amp;A190-13,$A$5:$A$504,"&lt;="&amp;A190-7)=0),"",C190-AVERAGEIFS($B$5:$B$504,$A$5:$A$504,"&gt;="&amp;A190-13,$A$5:$A$504,"&lt;="&amp;A190-7))</f>
        <v/>
      </c>
      <c r="E190" s="18" t="str">
        <f aca="false">IF(D190="","",IF(AND(D190&gt;=0.2,D190&lt;=0.35),"On target — change nothing",IF(D190&lt;0.2,"Gaining too slowly — add 200 kcal to training days","Gaining too fast — cut 200 kcal from training days")))</f>
        <v/>
      </c>
    </row>
    <row r="191" customFormat="false" ht="15" hidden="false" customHeight="false" outlineLevel="0" collapsed="false">
      <c r="A191" s="19"/>
      <c r="B191" s="20"/>
      <c r="C191" s="16" t="str">
        <f aca="false">IF(B191="","",IFERROR(AVERAGEIFS($B$5:$B$504,$A$5:$A$504,"&gt;="&amp;A191-6,$A$5:$A$504,"&lt;="&amp;A191),""))</f>
        <v/>
      </c>
      <c r="D191" s="17" t="str">
        <f aca="false">IF(OR(C191="",COUNTIFS($A$5:$A$504,"&gt;="&amp;A191-13,$A$5:$A$504,"&lt;="&amp;A191-7)=0),"",C191-AVERAGEIFS($B$5:$B$504,$A$5:$A$504,"&gt;="&amp;A191-13,$A$5:$A$504,"&lt;="&amp;A191-7))</f>
        <v/>
      </c>
      <c r="E191" s="18" t="str">
        <f aca="false">IF(D191="","",IF(AND(D191&gt;=0.2,D191&lt;=0.35),"On target — change nothing",IF(D191&lt;0.2,"Gaining too slowly — add 200 kcal to training days","Gaining too fast — cut 200 kcal from training days")))</f>
        <v/>
      </c>
    </row>
    <row r="192" customFormat="false" ht="15" hidden="false" customHeight="false" outlineLevel="0" collapsed="false">
      <c r="A192" s="19"/>
      <c r="B192" s="20"/>
      <c r="C192" s="16" t="str">
        <f aca="false">IF(B192="","",IFERROR(AVERAGEIFS($B$5:$B$504,$A$5:$A$504,"&gt;="&amp;A192-6,$A$5:$A$504,"&lt;="&amp;A192),""))</f>
        <v/>
      </c>
      <c r="D192" s="17" t="str">
        <f aca="false">IF(OR(C192="",COUNTIFS($A$5:$A$504,"&gt;="&amp;A192-13,$A$5:$A$504,"&lt;="&amp;A192-7)=0),"",C192-AVERAGEIFS($B$5:$B$504,$A$5:$A$504,"&gt;="&amp;A192-13,$A$5:$A$504,"&lt;="&amp;A192-7))</f>
        <v/>
      </c>
      <c r="E192" s="18" t="str">
        <f aca="false">IF(D192="","",IF(AND(D192&gt;=0.2,D192&lt;=0.35),"On target — change nothing",IF(D192&lt;0.2,"Gaining too slowly — add 200 kcal to training days","Gaining too fast — cut 200 kcal from training days")))</f>
        <v/>
      </c>
    </row>
    <row r="193" customFormat="false" ht="15" hidden="false" customHeight="false" outlineLevel="0" collapsed="false">
      <c r="A193" s="19"/>
      <c r="B193" s="20"/>
      <c r="C193" s="16" t="str">
        <f aca="false">IF(B193="","",IFERROR(AVERAGEIFS($B$5:$B$504,$A$5:$A$504,"&gt;="&amp;A193-6,$A$5:$A$504,"&lt;="&amp;A193),""))</f>
        <v/>
      </c>
      <c r="D193" s="17" t="str">
        <f aca="false">IF(OR(C193="",COUNTIFS($A$5:$A$504,"&gt;="&amp;A193-13,$A$5:$A$504,"&lt;="&amp;A193-7)=0),"",C193-AVERAGEIFS($B$5:$B$504,$A$5:$A$504,"&gt;="&amp;A193-13,$A$5:$A$504,"&lt;="&amp;A193-7))</f>
        <v/>
      </c>
      <c r="E193" s="18" t="str">
        <f aca="false">IF(D193="","",IF(AND(D193&gt;=0.2,D193&lt;=0.35),"On target — change nothing",IF(D193&lt;0.2,"Gaining too slowly — add 200 kcal to training days","Gaining too fast — cut 200 kcal from training days")))</f>
        <v/>
      </c>
    </row>
    <row r="194" customFormat="false" ht="15" hidden="false" customHeight="false" outlineLevel="0" collapsed="false">
      <c r="A194" s="19"/>
      <c r="B194" s="20"/>
      <c r="C194" s="16" t="str">
        <f aca="false">IF(B194="","",IFERROR(AVERAGEIFS($B$5:$B$504,$A$5:$A$504,"&gt;="&amp;A194-6,$A$5:$A$504,"&lt;="&amp;A194),""))</f>
        <v/>
      </c>
      <c r="D194" s="17" t="str">
        <f aca="false">IF(OR(C194="",COUNTIFS($A$5:$A$504,"&gt;="&amp;A194-13,$A$5:$A$504,"&lt;="&amp;A194-7)=0),"",C194-AVERAGEIFS($B$5:$B$504,$A$5:$A$504,"&gt;="&amp;A194-13,$A$5:$A$504,"&lt;="&amp;A194-7))</f>
        <v/>
      </c>
      <c r="E194" s="18" t="str">
        <f aca="false">IF(D194="","",IF(AND(D194&gt;=0.2,D194&lt;=0.35),"On target — change nothing",IF(D194&lt;0.2,"Gaining too slowly — add 200 kcal to training days","Gaining too fast — cut 200 kcal from training days")))</f>
        <v/>
      </c>
    </row>
    <row r="195" customFormat="false" ht="15" hidden="false" customHeight="false" outlineLevel="0" collapsed="false">
      <c r="A195" s="19"/>
      <c r="B195" s="20"/>
      <c r="C195" s="16" t="str">
        <f aca="false">IF(B195="","",IFERROR(AVERAGEIFS($B$5:$B$504,$A$5:$A$504,"&gt;="&amp;A195-6,$A$5:$A$504,"&lt;="&amp;A195),""))</f>
        <v/>
      </c>
      <c r="D195" s="17" t="str">
        <f aca="false">IF(OR(C195="",COUNTIFS($A$5:$A$504,"&gt;="&amp;A195-13,$A$5:$A$504,"&lt;="&amp;A195-7)=0),"",C195-AVERAGEIFS($B$5:$B$504,$A$5:$A$504,"&gt;="&amp;A195-13,$A$5:$A$504,"&lt;="&amp;A195-7))</f>
        <v/>
      </c>
      <c r="E195" s="18" t="str">
        <f aca="false">IF(D195="","",IF(AND(D195&gt;=0.2,D195&lt;=0.35),"On target — change nothing",IF(D195&lt;0.2,"Gaining too slowly — add 200 kcal to training days","Gaining too fast — cut 200 kcal from training days")))</f>
        <v/>
      </c>
    </row>
    <row r="196" customFormat="false" ht="15" hidden="false" customHeight="false" outlineLevel="0" collapsed="false">
      <c r="A196" s="19"/>
      <c r="B196" s="20"/>
      <c r="C196" s="16" t="str">
        <f aca="false">IF(B196="","",IFERROR(AVERAGEIFS($B$5:$B$504,$A$5:$A$504,"&gt;="&amp;A196-6,$A$5:$A$504,"&lt;="&amp;A196),""))</f>
        <v/>
      </c>
      <c r="D196" s="17" t="str">
        <f aca="false">IF(OR(C196="",COUNTIFS($A$5:$A$504,"&gt;="&amp;A196-13,$A$5:$A$504,"&lt;="&amp;A196-7)=0),"",C196-AVERAGEIFS($B$5:$B$504,$A$5:$A$504,"&gt;="&amp;A196-13,$A$5:$A$504,"&lt;="&amp;A196-7))</f>
        <v/>
      </c>
      <c r="E196" s="18" t="str">
        <f aca="false">IF(D196="","",IF(AND(D196&gt;=0.2,D196&lt;=0.35),"On target — change nothing",IF(D196&lt;0.2,"Gaining too slowly — add 200 kcal to training days","Gaining too fast — cut 200 kcal from training days")))</f>
        <v/>
      </c>
    </row>
    <row r="197" customFormat="false" ht="15" hidden="false" customHeight="false" outlineLevel="0" collapsed="false">
      <c r="A197" s="19"/>
      <c r="B197" s="20"/>
      <c r="C197" s="16" t="str">
        <f aca="false">IF(B197="","",IFERROR(AVERAGEIFS($B$5:$B$504,$A$5:$A$504,"&gt;="&amp;A197-6,$A$5:$A$504,"&lt;="&amp;A197),""))</f>
        <v/>
      </c>
      <c r="D197" s="17" t="str">
        <f aca="false">IF(OR(C197="",COUNTIFS($A$5:$A$504,"&gt;="&amp;A197-13,$A$5:$A$504,"&lt;="&amp;A197-7)=0),"",C197-AVERAGEIFS($B$5:$B$504,$A$5:$A$504,"&gt;="&amp;A197-13,$A$5:$A$504,"&lt;="&amp;A197-7))</f>
        <v/>
      </c>
      <c r="E197" s="18" t="str">
        <f aca="false">IF(D197="","",IF(AND(D197&gt;=0.2,D197&lt;=0.35),"On target — change nothing",IF(D197&lt;0.2,"Gaining too slowly — add 200 kcal to training days","Gaining too fast — cut 200 kcal from training days")))</f>
        <v/>
      </c>
    </row>
    <row r="198" customFormat="false" ht="15" hidden="false" customHeight="false" outlineLevel="0" collapsed="false">
      <c r="A198" s="19"/>
      <c r="B198" s="20"/>
      <c r="C198" s="16" t="str">
        <f aca="false">IF(B198="","",IFERROR(AVERAGEIFS($B$5:$B$504,$A$5:$A$504,"&gt;="&amp;A198-6,$A$5:$A$504,"&lt;="&amp;A198),""))</f>
        <v/>
      </c>
      <c r="D198" s="17" t="str">
        <f aca="false">IF(OR(C198="",COUNTIFS($A$5:$A$504,"&gt;="&amp;A198-13,$A$5:$A$504,"&lt;="&amp;A198-7)=0),"",C198-AVERAGEIFS($B$5:$B$504,$A$5:$A$504,"&gt;="&amp;A198-13,$A$5:$A$504,"&lt;="&amp;A198-7))</f>
        <v/>
      </c>
      <c r="E198" s="18" t="str">
        <f aca="false">IF(D198="","",IF(AND(D198&gt;=0.2,D198&lt;=0.35),"On target — change nothing",IF(D198&lt;0.2,"Gaining too slowly — add 200 kcal to training days","Gaining too fast — cut 200 kcal from training days")))</f>
        <v/>
      </c>
    </row>
    <row r="199" customFormat="false" ht="15" hidden="false" customHeight="false" outlineLevel="0" collapsed="false">
      <c r="A199" s="19"/>
      <c r="B199" s="20"/>
      <c r="C199" s="16" t="str">
        <f aca="false">IF(B199="","",IFERROR(AVERAGEIFS($B$5:$B$504,$A$5:$A$504,"&gt;="&amp;A199-6,$A$5:$A$504,"&lt;="&amp;A199),""))</f>
        <v/>
      </c>
      <c r="D199" s="17" t="str">
        <f aca="false">IF(OR(C199="",COUNTIFS($A$5:$A$504,"&gt;="&amp;A199-13,$A$5:$A$504,"&lt;="&amp;A199-7)=0),"",C199-AVERAGEIFS($B$5:$B$504,$A$5:$A$504,"&gt;="&amp;A199-13,$A$5:$A$504,"&lt;="&amp;A199-7))</f>
        <v/>
      </c>
      <c r="E199" s="18" t="str">
        <f aca="false">IF(D199="","",IF(AND(D199&gt;=0.2,D199&lt;=0.35),"On target — change nothing",IF(D199&lt;0.2,"Gaining too slowly — add 200 kcal to training days","Gaining too fast — cut 200 kcal from training days")))</f>
        <v/>
      </c>
    </row>
    <row r="200" customFormat="false" ht="15" hidden="false" customHeight="false" outlineLevel="0" collapsed="false">
      <c r="A200" s="19"/>
      <c r="B200" s="20"/>
      <c r="C200" s="16" t="str">
        <f aca="false">IF(B200="","",IFERROR(AVERAGEIFS($B$5:$B$504,$A$5:$A$504,"&gt;="&amp;A200-6,$A$5:$A$504,"&lt;="&amp;A200),""))</f>
        <v/>
      </c>
      <c r="D200" s="17" t="str">
        <f aca="false">IF(OR(C200="",COUNTIFS($A$5:$A$504,"&gt;="&amp;A200-13,$A$5:$A$504,"&lt;="&amp;A200-7)=0),"",C200-AVERAGEIFS($B$5:$B$504,$A$5:$A$504,"&gt;="&amp;A200-13,$A$5:$A$504,"&lt;="&amp;A200-7))</f>
        <v/>
      </c>
      <c r="E200" s="18" t="str">
        <f aca="false">IF(D200="","",IF(AND(D200&gt;=0.2,D200&lt;=0.35),"On target — change nothing",IF(D200&lt;0.2,"Gaining too slowly — add 200 kcal to training days","Gaining too fast — cut 200 kcal from training days")))</f>
        <v/>
      </c>
    </row>
    <row r="201" customFormat="false" ht="15" hidden="false" customHeight="false" outlineLevel="0" collapsed="false">
      <c r="A201" s="19"/>
      <c r="B201" s="20"/>
      <c r="C201" s="16" t="str">
        <f aca="false">IF(B201="","",IFERROR(AVERAGEIFS($B$5:$B$504,$A$5:$A$504,"&gt;="&amp;A201-6,$A$5:$A$504,"&lt;="&amp;A201),""))</f>
        <v/>
      </c>
      <c r="D201" s="17" t="str">
        <f aca="false">IF(OR(C201="",COUNTIFS($A$5:$A$504,"&gt;="&amp;A201-13,$A$5:$A$504,"&lt;="&amp;A201-7)=0),"",C201-AVERAGEIFS($B$5:$B$504,$A$5:$A$504,"&gt;="&amp;A201-13,$A$5:$A$504,"&lt;="&amp;A201-7))</f>
        <v/>
      </c>
      <c r="E201" s="18" t="str">
        <f aca="false">IF(D201="","",IF(AND(D201&gt;=0.2,D201&lt;=0.35),"On target — change nothing",IF(D201&lt;0.2,"Gaining too slowly — add 200 kcal to training days","Gaining too fast — cut 200 kcal from training days")))</f>
        <v/>
      </c>
    </row>
    <row r="202" customFormat="false" ht="15" hidden="false" customHeight="false" outlineLevel="0" collapsed="false">
      <c r="A202" s="19"/>
      <c r="B202" s="20"/>
      <c r="C202" s="16" t="str">
        <f aca="false">IF(B202="","",IFERROR(AVERAGEIFS($B$5:$B$504,$A$5:$A$504,"&gt;="&amp;A202-6,$A$5:$A$504,"&lt;="&amp;A202),""))</f>
        <v/>
      </c>
      <c r="D202" s="17" t="str">
        <f aca="false">IF(OR(C202="",COUNTIFS($A$5:$A$504,"&gt;="&amp;A202-13,$A$5:$A$504,"&lt;="&amp;A202-7)=0),"",C202-AVERAGEIFS($B$5:$B$504,$A$5:$A$504,"&gt;="&amp;A202-13,$A$5:$A$504,"&lt;="&amp;A202-7))</f>
        <v/>
      </c>
      <c r="E202" s="18" t="str">
        <f aca="false">IF(D202="","",IF(AND(D202&gt;=0.2,D202&lt;=0.35),"On target — change nothing",IF(D202&lt;0.2,"Gaining too slowly — add 200 kcal to training days","Gaining too fast — cut 200 kcal from training days")))</f>
        <v/>
      </c>
    </row>
    <row r="203" customFormat="false" ht="15" hidden="false" customHeight="false" outlineLevel="0" collapsed="false">
      <c r="A203" s="19"/>
      <c r="B203" s="20"/>
      <c r="C203" s="16" t="str">
        <f aca="false">IF(B203="","",IFERROR(AVERAGEIFS($B$5:$B$504,$A$5:$A$504,"&gt;="&amp;A203-6,$A$5:$A$504,"&lt;="&amp;A203),""))</f>
        <v/>
      </c>
      <c r="D203" s="17" t="str">
        <f aca="false">IF(OR(C203="",COUNTIFS($A$5:$A$504,"&gt;="&amp;A203-13,$A$5:$A$504,"&lt;="&amp;A203-7)=0),"",C203-AVERAGEIFS($B$5:$B$504,$A$5:$A$504,"&gt;="&amp;A203-13,$A$5:$A$504,"&lt;="&amp;A203-7))</f>
        <v/>
      </c>
      <c r="E203" s="18" t="str">
        <f aca="false">IF(D203="","",IF(AND(D203&gt;=0.2,D203&lt;=0.35),"On target — change nothing",IF(D203&lt;0.2,"Gaining too slowly — add 200 kcal to training days","Gaining too fast — cut 200 kcal from training days")))</f>
        <v/>
      </c>
    </row>
    <row r="204" customFormat="false" ht="15" hidden="false" customHeight="false" outlineLevel="0" collapsed="false">
      <c r="A204" s="19"/>
      <c r="B204" s="20"/>
      <c r="C204" s="16" t="str">
        <f aca="false">IF(B204="","",IFERROR(AVERAGEIFS($B$5:$B$504,$A$5:$A$504,"&gt;="&amp;A204-6,$A$5:$A$504,"&lt;="&amp;A204),""))</f>
        <v/>
      </c>
      <c r="D204" s="17" t="str">
        <f aca="false">IF(OR(C204="",COUNTIFS($A$5:$A$504,"&gt;="&amp;A204-13,$A$5:$A$504,"&lt;="&amp;A204-7)=0),"",C204-AVERAGEIFS($B$5:$B$504,$A$5:$A$504,"&gt;="&amp;A204-13,$A$5:$A$504,"&lt;="&amp;A204-7))</f>
        <v/>
      </c>
      <c r="E204" s="18" t="str">
        <f aca="false">IF(D204="","",IF(AND(D204&gt;=0.2,D204&lt;=0.35),"On target — change nothing",IF(D204&lt;0.2,"Gaining too slowly — add 200 kcal to training days","Gaining too fast — cut 200 kcal from training days")))</f>
        <v/>
      </c>
    </row>
    <row r="205" customFormat="false" ht="15" hidden="false" customHeight="false" outlineLevel="0" collapsed="false">
      <c r="A205" s="19"/>
      <c r="B205" s="20"/>
      <c r="C205" s="16" t="str">
        <f aca="false">IF(B205="","",IFERROR(AVERAGEIFS($B$5:$B$504,$A$5:$A$504,"&gt;="&amp;A205-6,$A$5:$A$504,"&lt;="&amp;A205),""))</f>
        <v/>
      </c>
      <c r="D205" s="17" t="str">
        <f aca="false">IF(OR(C205="",COUNTIFS($A$5:$A$504,"&gt;="&amp;A205-13,$A$5:$A$504,"&lt;="&amp;A205-7)=0),"",C205-AVERAGEIFS($B$5:$B$504,$A$5:$A$504,"&gt;="&amp;A205-13,$A$5:$A$504,"&lt;="&amp;A205-7))</f>
        <v/>
      </c>
      <c r="E205" s="18" t="str">
        <f aca="false">IF(D205="","",IF(AND(D205&gt;=0.2,D205&lt;=0.35),"On target — change nothing",IF(D205&lt;0.2,"Gaining too slowly — add 200 kcal to training days","Gaining too fast — cut 200 kcal from training days")))</f>
        <v/>
      </c>
    </row>
    <row r="206" customFormat="false" ht="15" hidden="false" customHeight="false" outlineLevel="0" collapsed="false">
      <c r="A206" s="19"/>
      <c r="B206" s="20"/>
      <c r="C206" s="16" t="str">
        <f aca="false">IF(B206="","",IFERROR(AVERAGEIFS($B$5:$B$504,$A$5:$A$504,"&gt;="&amp;A206-6,$A$5:$A$504,"&lt;="&amp;A206),""))</f>
        <v/>
      </c>
      <c r="D206" s="17" t="str">
        <f aca="false">IF(OR(C206="",COUNTIFS($A$5:$A$504,"&gt;="&amp;A206-13,$A$5:$A$504,"&lt;="&amp;A206-7)=0),"",C206-AVERAGEIFS($B$5:$B$504,$A$5:$A$504,"&gt;="&amp;A206-13,$A$5:$A$504,"&lt;="&amp;A206-7))</f>
        <v/>
      </c>
      <c r="E206" s="18" t="str">
        <f aca="false">IF(D206="","",IF(AND(D206&gt;=0.2,D206&lt;=0.35),"On target — change nothing",IF(D206&lt;0.2,"Gaining too slowly — add 200 kcal to training days","Gaining too fast — cut 200 kcal from training days")))</f>
        <v/>
      </c>
    </row>
    <row r="207" customFormat="false" ht="15" hidden="false" customHeight="false" outlineLevel="0" collapsed="false">
      <c r="A207" s="19"/>
      <c r="B207" s="20"/>
      <c r="C207" s="16" t="str">
        <f aca="false">IF(B207="","",IFERROR(AVERAGEIFS($B$5:$B$504,$A$5:$A$504,"&gt;="&amp;A207-6,$A$5:$A$504,"&lt;="&amp;A207),""))</f>
        <v/>
      </c>
      <c r="D207" s="17" t="str">
        <f aca="false">IF(OR(C207="",COUNTIFS($A$5:$A$504,"&gt;="&amp;A207-13,$A$5:$A$504,"&lt;="&amp;A207-7)=0),"",C207-AVERAGEIFS($B$5:$B$504,$A$5:$A$504,"&gt;="&amp;A207-13,$A$5:$A$504,"&lt;="&amp;A207-7))</f>
        <v/>
      </c>
      <c r="E207" s="18" t="str">
        <f aca="false">IF(D207="","",IF(AND(D207&gt;=0.2,D207&lt;=0.35),"On target — change nothing",IF(D207&lt;0.2,"Gaining too slowly — add 200 kcal to training days","Gaining too fast — cut 200 kcal from training days")))</f>
        <v/>
      </c>
    </row>
    <row r="208" customFormat="false" ht="15" hidden="false" customHeight="false" outlineLevel="0" collapsed="false">
      <c r="A208" s="19"/>
      <c r="B208" s="20"/>
      <c r="C208" s="16" t="str">
        <f aca="false">IF(B208="","",IFERROR(AVERAGEIFS($B$5:$B$504,$A$5:$A$504,"&gt;="&amp;A208-6,$A$5:$A$504,"&lt;="&amp;A208),""))</f>
        <v/>
      </c>
      <c r="D208" s="17" t="str">
        <f aca="false">IF(OR(C208="",COUNTIFS($A$5:$A$504,"&gt;="&amp;A208-13,$A$5:$A$504,"&lt;="&amp;A208-7)=0),"",C208-AVERAGEIFS($B$5:$B$504,$A$5:$A$504,"&gt;="&amp;A208-13,$A$5:$A$504,"&lt;="&amp;A208-7))</f>
        <v/>
      </c>
      <c r="E208" s="18" t="str">
        <f aca="false">IF(D208="","",IF(AND(D208&gt;=0.2,D208&lt;=0.35),"On target — change nothing",IF(D208&lt;0.2,"Gaining too slowly — add 200 kcal to training days","Gaining too fast — cut 200 kcal from training days")))</f>
        <v/>
      </c>
    </row>
    <row r="209" customFormat="false" ht="15" hidden="false" customHeight="false" outlineLevel="0" collapsed="false">
      <c r="A209" s="19"/>
      <c r="B209" s="20"/>
      <c r="C209" s="16" t="str">
        <f aca="false">IF(B209="","",IFERROR(AVERAGEIFS($B$5:$B$504,$A$5:$A$504,"&gt;="&amp;A209-6,$A$5:$A$504,"&lt;="&amp;A209),""))</f>
        <v/>
      </c>
      <c r="D209" s="17" t="str">
        <f aca="false">IF(OR(C209="",COUNTIFS($A$5:$A$504,"&gt;="&amp;A209-13,$A$5:$A$504,"&lt;="&amp;A209-7)=0),"",C209-AVERAGEIFS($B$5:$B$504,$A$5:$A$504,"&gt;="&amp;A209-13,$A$5:$A$504,"&lt;="&amp;A209-7))</f>
        <v/>
      </c>
      <c r="E209" s="18" t="str">
        <f aca="false">IF(D209="","",IF(AND(D209&gt;=0.2,D209&lt;=0.35),"On target — change nothing",IF(D209&lt;0.2,"Gaining too slowly — add 200 kcal to training days","Gaining too fast — cut 200 kcal from training days")))</f>
        <v/>
      </c>
    </row>
    <row r="210" customFormat="false" ht="15" hidden="false" customHeight="false" outlineLevel="0" collapsed="false">
      <c r="A210" s="19"/>
      <c r="B210" s="20"/>
      <c r="C210" s="16" t="str">
        <f aca="false">IF(B210="","",IFERROR(AVERAGEIFS($B$5:$B$504,$A$5:$A$504,"&gt;="&amp;A210-6,$A$5:$A$504,"&lt;="&amp;A210),""))</f>
        <v/>
      </c>
      <c r="D210" s="17" t="str">
        <f aca="false">IF(OR(C210="",COUNTIFS($A$5:$A$504,"&gt;="&amp;A210-13,$A$5:$A$504,"&lt;="&amp;A210-7)=0),"",C210-AVERAGEIFS($B$5:$B$504,$A$5:$A$504,"&gt;="&amp;A210-13,$A$5:$A$504,"&lt;="&amp;A210-7))</f>
        <v/>
      </c>
      <c r="E210" s="18" t="str">
        <f aca="false">IF(D210="","",IF(AND(D210&gt;=0.2,D210&lt;=0.35),"On target — change nothing",IF(D210&lt;0.2,"Gaining too slowly — add 200 kcal to training days","Gaining too fast — cut 200 kcal from training days")))</f>
        <v/>
      </c>
    </row>
    <row r="211" customFormat="false" ht="15" hidden="false" customHeight="false" outlineLevel="0" collapsed="false">
      <c r="A211" s="19"/>
      <c r="B211" s="20"/>
      <c r="C211" s="16" t="str">
        <f aca="false">IF(B211="","",IFERROR(AVERAGEIFS($B$5:$B$504,$A$5:$A$504,"&gt;="&amp;A211-6,$A$5:$A$504,"&lt;="&amp;A211),""))</f>
        <v/>
      </c>
      <c r="D211" s="17" t="str">
        <f aca="false">IF(OR(C211="",COUNTIFS($A$5:$A$504,"&gt;="&amp;A211-13,$A$5:$A$504,"&lt;="&amp;A211-7)=0),"",C211-AVERAGEIFS($B$5:$B$504,$A$5:$A$504,"&gt;="&amp;A211-13,$A$5:$A$504,"&lt;="&amp;A211-7))</f>
        <v/>
      </c>
      <c r="E211" s="18" t="str">
        <f aca="false">IF(D211="","",IF(AND(D211&gt;=0.2,D211&lt;=0.35),"On target — change nothing",IF(D211&lt;0.2,"Gaining too slowly — add 200 kcal to training days","Gaining too fast — cut 200 kcal from training days")))</f>
        <v/>
      </c>
    </row>
    <row r="212" customFormat="false" ht="15" hidden="false" customHeight="false" outlineLevel="0" collapsed="false">
      <c r="A212" s="19"/>
      <c r="B212" s="20"/>
      <c r="C212" s="16" t="str">
        <f aca="false">IF(B212="","",IFERROR(AVERAGEIFS($B$5:$B$504,$A$5:$A$504,"&gt;="&amp;A212-6,$A$5:$A$504,"&lt;="&amp;A212),""))</f>
        <v/>
      </c>
      <c r="D212" s="17" t="str">
        <f aca="false">IF(OR(C212="",COUNTIFS($A$5:$A$504,"&gt;="&amp;A212-13,$A$5:$A$504,"&lt;="&amp;A212-7)=0),"",C212-AVERAGEIFS($B$5:$B$504,$A$5:$A$504,"&gt;="&amp;A212-13,$A$5:$A$504,"&lt;="&amp;A212-7))</f>
        <v/>
      </c>
      <c r="E212" s="18" t="str">
        <f aca="false">IF(D212="","",IF(AND(D212&gt;=0.2,D212&lt;=0.35),"On target — change nothing",IF(D212&lt;0.2,"Gaining too slowly — add 200 kcal to training days","Gaining too fast — cut 200 kcal from training days")))</f>
        <v/>
      </c>
    </row>
    <row r="213" customFormat="false" ht="15" hidden="false" customHeight="false" outlineLevel="0" collapsed="false">
      <c r="A213" s="19"/>
      <c r="B213" s="20"/>
      <c r="C213" s="16" t="str">
        <f aca="false">IF(B213="","",IFERROR(AVERAGEIFS($B$5:$B$504,$A$5:$A$504,"&gt;="&amp;A213-6,$A$5:$A$504,"&lt;="&amp;A213),""))</f>
        <v/>
      </c>
      <c r="D213" s="17" t="str">
        <f aca="false">IF(OR(C213="",COUNTIFS($A$5:$A$504,"&gt;="&amp;A213-13,$A$5:$A$504,"&lt;="&amp;A213-7)=0),"",C213-AVERAGEIFS($B$5:$B$504,$A$5:$A$504,"&gt;="&amp;A213-13,$A$5:$A$504,"&lt;="&amp;A213-7))</f>
        <v/>
      </c>
      <c r="E213" s="18" t="str">
        <f aca="false">IF(D213="","",IF(AND(D213&gt;=0.2,D213&lt;=0.35),"On target — change nothing",IF(D213&lt;0.2,"Gaining too slowly — add 200 kcal to training days","Gaining too fast — cut 200 kcal from training days")))</f>
        <v/>
      </c>
    </row>
    <row r="214" customFormat="false" ht="15" hidden="false" customHeight="false" outlineLevel="0" collapsed="false">
      <c r="A214" s="19"/>
      <c r="B214" s="20"/>
      <c r="C214" s="16" t="str">
        <f aca="false">IF(B214="","",IFERROR(AVERAGEIFS($B$5:$B$504,$A$5:$A$504,"&gt;="&amp;A214-6,$A$5:$A$504,"&lt;="&amp;A214),""))</f>
        <v/>
      </c>
      <c r="D214" s="17" t="str">
        <f aca="false">IF(OR(C214="",COUNTIFS($A$5:$A$504,"&gt;="&amp;A214-13,$A$5:$A$504,"&lt;="&amp;A214-7)=0),"",C214-AVERAGEIFS($B$5:$B$504,$A$5:$A$504,"&gt;="&amp;A214-13,$A$5:$A$504,"&lt;="&amp;A214-7))</f>
        <v/>
      </c>
      <c r="E214" s="18" t="str">
        <f aca="false">IF(D214="","",IF(AND(D214&gt;=0.2,D214&lt;=0.35),"On target — change nothing",IF(D214&lt;0.2,"Gaining too slowly — add 200 kcal to training days","Gaining too fast — cut 200 kcal from training days")))</f>
        <v/>
      </c>
    </row>
    <row r="215" customFormat="false" ht="15" hidden="false" customHeight="false" outlineLevel="0" collapsed="false">
      <c r="A215" s="19"/>
      <c r="B215" s="20"/>
      <c r="C215" s="16" t="str">
        <f aca="false">IF(B215="","",IFERROR(AVERAGEIFS($B$5:$B$504,$A$5:$A$504,"&gt;="&amp;A215-6,$A$5:$A$504,"&lt;="&amp;A215),""))</f>
        <v/>
      </c>
      <c r="D215" s="17" t="str">
        <f aca="false">IF(OR(C215="",COUNTIFS($A$5:$A$504,"&gt;="&amp;A215-13,$A$5:$A$504,"&lt;="&amp;A215-7)=0),"",C215-AVERAGEIFS($B$5:$B$504,$A$5:$A$504,"&gt;="&amp;A215-13,$A$5:$A$504,"&lt;="&amp;A215-7))</f>
        <v/>
      </c>
      <c r="E215" s="18" t="str">
        <f aca="false">IF(D215="","",IF(AND(D215&gt;=0.2,D215&lt;=0.35),"On target — change nothing",IF(D215&lt;0.2,"Gaining too slowly — add 200 kcal to training days","Gaining too fast — cut 200 kcal from training days")))</f>
        <v/>
      </c>
    </row>
    <row r="216" customFormat="false" ht="15" hidden="false" customHeight="false" outlineLevel="0" collapsed="false">
      <c r="A216" s="19"/>
      <c r="B216" s="20"/>
      <c r="C216" s="16" t="str">
        <f aca="false">IF(B216="","",IFERROR(AVERAGEIFS($B$5:$B$504,$A$5:$A$504,"&gt;="&amp;A216-6,$A$5:$A$504,"&lt;="&amp;A216),""))</f>
        <v/>
      </c>
      <c r="D216" s="17" t="str">
        <f aca="false">IF(OR(C216="",COUNTIFS($A$5:$A$504,"&gt;="&amp;A216-13,$A$5:$A$504,"&lt;="&amp;A216-7)=0),"",C216-AVERAGEIFS($B$5:$B$504,$A$5:$A$504,"&gt;="&amp;A216-13,$A$5:$A$504,"&lt;="&amp;A216-7))</f>
        <v/>
      </c>
      <c r="E216" s="18" t="str">
        <f aca="false">IF(D216="","",IF(AND(D216&gt;=0.2,D216&lt;=0.35),"On target — change nothing",IF(D216&lt;0.2,"Gaining too slowly — add 200 kcal to training days","Gaining too fast — cut 200 kcal from training days")))</f>
        <v/>
      </c>
    </row>
    <row r="217" customFormat="false" ht="15" hidden="false" customHeight="false" outlineLevel="0" collapsed="false">
      <c r="A217" s="19"/>
      <c r="B217" s="20"/>
      <c r="C217" s="16" t="str">
        <f aca="false">IF(B217="","",IFERROR(AVERAGEIFS($B$5:$B$504,$A$5:$A$504,"&gt;="&amp;A217-6,$A$5:$A$504,"&lt;="&amp;A217),""))</f>
        <v/>
      </c>
      <c r="D217" s="17" t="str">
        <f aca="false">IF(OR(C217="",COUNTIFS($A$5:$A$504,"&gt;="&amp;A217-13,$A$5:$A$504,"&lt;="&amp;A217-7)=0),"",C217-AVERAGEIFS($B$5:$B$504,$A$5:$A$504,"&gt;="&amp;A217-13,$A$5:$A$504,"&lt;="&amp;A217-7))</f>
        <v/>
      </c>
      <c r="E217" s="18" t="str">
        <f aca="false">IF(D217="","",IF(AND(D217&gt;=0.2,D217&lt;=0.35),"On target — change nothing",IF(D217&lt;0.2,"Gaining too slowly — add 200 kcal to training days","Gaining too fast — cut 200 kcal from training days")))</f>
        <v/>
      </c>
    </row>
    <row r="218" customFormat="false" ht="15" hidden="false" customHeight="false" outlineLevel="0" collapsed="false">
      <c r="A218" s="19"/>
      <c r="B218" s="20"/>
      <c r="C218" s="16" t="str">
        <f aca="false">IF(B218="","",IFERROR(AVERAGEIFS($B$5:$B$504,$A$5:$A$504,"&gt;="&amp;A218-6,$A$5:$A$504,"&lt;="&amp;A218),""))</f>
        <v/>
      </c>
      <c r="D218" s="17" t="str">
        <f aca="false">IF(OR(C218="",COUNTIFS($A$5:$A$504,"&gt;="&amp;A218-13,$A$5:$A$504,"&lt;="&amp;A218-7)=0),"",C218-AVERAGEIFS($B$5:$B$504,$A$5:$A$504,"&gt;="&amp;A218-13,$A$5:$A$504,"&lt;="&amp;A218-7))</f>
        <v/>
      </c>
      <c r="E218" s="18" t="str">
        <f aca="false">IF(D218="","",IF(AND(D218&gt;=0.2,D218&lt;=0.35),"On target — change nothing",IF(D218&lt;0.2,"Gaining too slowly — add 200 kcal to training days","Gaining too fast — cut 200 kcal from training days")))</f>
        <v/>
      </c>
    </row>
    <row r="219" customFormat="false" ht="15" hidden="false" customHeight="false" outlineLevel="0" collapsed="false">
      <c r="A219" s="19"/>
      <c r="B219" s="20"/>
      <c r="C219" s="16" t="str">
        <f aca="false">IF(B219="","",IFERROR(AVERAGEIFS($B$5:$B$504,$A$5:$A$504,"&gt;="&amp;A219-6,$A$5:$A$504,"&lt;="&amp;A219),""))</f>
        <v/>
      </c>
      <c r="D219" s="17" t="str">
        <f aca="false">IF(OR(C219="",COUNTIFS($A$5:$A$504,"&gt;="&amp;A219-13,$A$5:$A$504,"&lt;="&amp;A219-7)=0),"",C219-AVERAGEIFS($B$5:$B$504,$A$5:$A$504,"&gt;="&amp;A219-13,$A$5:$A$504,"&lt;="&amp;A219-7))</f>
        <v/>
      </c>
      <c r="E219" s="18" t="str">
        <f aca="false">IF(D219="","",IF(AND(D219&gt;=0.2,D219&lt;=0.35),"On target — change nothing",IF(D219&lt;0.2,"Gaining too slowly — add 200 kcal to training days","Gaining too fast — cut 200 kcal from training days")))</f>
        <v/>
      </c>
    </row>
    <row r="220" customFormat="false" ht="15" hidden="false" customHeight="false" outlineLevel="0" collapsed="false">
      <c r="A220" s="19"/>
      <c r="B220" s="20"/>
      <c r="C220" s="16" t="str">
        <f aca="false">IF(B220="","",IFERROR(AVERAGEIFS($B$5:$B$504,$A$5:$A$504,"&gt;="&amp;A220-6,$A$5:$A$504,"&lt;="&amp;A220),""))</f>
        <v/>
      </c>
      <c r="D220" s="17" t="str">
        <f aca="false">IF(OR(C220="",COUNTIFS($A$5:$A$504,"&gt;="&amp;A220-13,$A$5:$A$504,"&lt;="&amp;A220-7)=0),"",C220-AVERAGEIFS($B$5:$B$504,$A$5:$A$504,"&gt;="&amp;A220-13,$A$5:$A$504,"&lt;="&amp;A220-7))</f>
        <v/>
      </c>
      <c r="E220" s="18" t="str">
        <f aca="false">IF(D220="","",IF(AND(D220&gt;=0.2,D220&lt;=0.35),"On target — change nothing",IF(D220&lt;0.2,"Gaining too slowly — add 200 kcal to training days","Gaining too fast — cut 200 kcal from training days")))</f>
        <v/>
      </c>
    </row>
    <row r="221" customFormat="false" ht="15" hidden="false" customHeight="false" outlineLevel="0" collapsed="false">
      <c r="A221" s="19"/>
      <c r="B221" s="20"/>
      <c r="C221" s="16" t="str">
        <f aca="false">IF(B221="","",IFERROR(AVERAGEIFS($B$5:$B$504,$A$5:$A$504,"&gt;="&amp;A221-6,$A$5:$A$504,"&lt;="&amp;A221),""))</f>
        <v/>
      </c>
      <c r="D221" s="17" t="str">
        <f aca="false">IF(OR(C221="",COUNTIFS($A$5:$A$504,"&gt;="&amp;A221-13,$A$5:$A$504,"&lt;="&amp;A221-7)=0),"",C221-AVERAGEIFS($B$5:$B$504,$A$5:$A$504,"&gt;="&amp;A221-13,$A$5:$A$504,"&lt;="&amp;A221-7))</f>
        <v/>
      </c>
      <c r="E221" s="18" t="str">
        <f aca="false">IF(D221="","",IF(AND(D221&gt;=0.2,D221&lt;=0.35),"On target — change nothing",IF(D221&lt;0.2,"Gaining too slowly — add 200 kcal to training days","Gaining too fast — cut 200 kcal from training days")))</f>
        <v/>
      </c>
    </row>
    <row r="222" customFormat="false" ht="15" hidden="false" customHeight="false" outlineLevel="0" collapsed="false">
      <c r="A222" s="19"/>
      <c r="B222" s="20"/>
      <c r="C222" s="16" t="str">
        <f aca="false">IF(B222="","",IFERROR(AVERAGEIFS($B$5:$B$504,$A$5:$A$504,"&gt;="&amp;A222-6,$A$5:$A$504,"&lt;="&amp;A222),""))</f>
        <v/>
      </c>
      <c r="D222" s="17" t="str">
        <f aca="false">IF(OR(C222="",COUNTIFS($A$5:$A$504,"&gt;="&amp;A222-13,$A$5:$A$504,"&lt;="&amp;A222-7)=0),"",C222-AVERAGEIFS($B$5:$B$504,$A$5:$A$504,"&gt;="&amp;A222-13,$A$5:$A$504,"&lt;="&amp;A222-7))</f>
        <v/>
      </c>
      <c r="E222" s="18" t="str">
        <f aca="false">IF(D222="","",IF(AND(D222&gt;=0.2,D222&lt;=0.35),"On target — change nothing",IF(D222&lt;0.2,"Gaining too slowly — add 200 kcal to training days","Gaining too fast — cut 200 kcal from training days")))</f>
        <v/>
      </c>
    </row>
    <row r="223" customFormat="false" ht="15" hidden="false" customHeight="false" outlineLevel="0" collapsed="false">
      <c r="A223" s="19"/>
      <c r="B223" s="20"/>
      <c r="C223" s="16" t="str">
        <f aca="false">IF(B223="","",IFERROR(AVERAGEIFS($B$5:$B$504,$A$5:$A$504,"&gt;="&amp;A223-6,$A$5:$A$504,"&lt;="&amp;A223),""))</f>
        <v/>
      </c>
      <c r="D223" s="17" t="str">
        <f aca="false">IF(OR(C223="",COUNTIFS($A$5:$A$504,"&gt;="&amp;A223-13,$A$5:$A$504,"&lt;="&amp;A223-7)=0),"",C223-AVERAGEIFS($B$5:$B$504,$A$5:$A$504,"&gt;="&amp;A223-13,$A$5:$A$504,"&lt;="&amp;A223-7))</f>
        <v/>
      </c>
      <c r="E223" s="18" t="str">
        <f aca="false">IF(D223="","",IF(AND(D223&gt;=0.2,D223&lt;=0.35),"On target — change nothing",IF(D223&lt;0.2,"Gaining too slowly — add 200 kcal to training days","Gaining too fast — cut 200 kcal from training days")))</f>
        <v/>
      </c>
    </row>
    <row r="224" customFormat="false" ht="15" hidden="false" customHeight="false" outlineLevel="0" collapsed="false">
      <c r="A224" s="19"/>
      <c r="B224" s="20"/>
      <c r="C224" s="16" t="str">
        <f aca="false">IF(B224="","",IFERROR(AVERAGEIFS($B$5:$B$504,$A$5:$A$504,"&gt;="&amp;A224-6,$A$5:$A$504,"&lt;="&amp;A224),""))</f>
        <v/>
      </c>
      <c r="D224" s="17" t="str">
        <f aca="false">IF(OR(C224="",COUNTIFS($A$5:$A$504,"&gt;="&amp;A224-13,$A$5:$A$504,"&lt;="&amp;A224-7)=0),"",C224-AVERAGEIFS($B$5:$B$504,$A$5:$A$504,"&gt;="&amp;A224-13,$A$5:$A$504,"&lt;="&amp;A224-7))</f>
        <v/>
      </c>
      <c r="E224" s="18" t="str">
        <f aca="false">IF(D224="","",IF(AND(D224&gt;=0.2,D224&lt;=0.35),"On target — change nothing",IF(D224&lt;0.2,"Gaining too slowly — add 200 kcal to training days","Gaining too fast — cut 200 kcal from training days")))</f>
        <v/>
      </c>
    </row>
    <row r="225" customFormat="false" ht="15" hidden="false" customHeight="false" outlineLevel="0" collapsed="false">
      <c r="A225" s="19"/>
      <c r="B225" s="20"/>
      <c r="C225" s="16" t="str">
        <f aca="false">IF(B225="","",IFERROR(AVERAGEIFS($B$5:$B$504,$A$5:$A$504,"&gt;="&amp;A225-6,$A$5:$A$504,"&lt;="&amp;A225),""))</f>
        <v/>
      </c>
      <c r="D225" s="17" t="str">
        <f aca="false">IF(OR(C225="",COUNTIFS($A$5:$A$504,"&gt;="&amp;A225-13,$A$5:$A$504,"&lt;="&amp;A225-7)=0),"",C225-AVERAGEIFS($B$5:$B$504,$A$5:$A$504,"&gt;="&amp;A225-13,$A$5:$A$504,"&lt;="&amp;A225-7))</f>
        <v/>
      </c>
      <c r="E225" s="18" t="str">
        <f aca="false">IF(D225="","",IF(AND(D225&gt;=0.2,D225&lt;=0.35),"On target — change nothing",IF(D225&lt;0.2,"Gaining too slowly — add 200 kcal to training days","Gaining too fast — cut 200 kcal from training days")))</f>
        <v/>
      </c>
    </row>
    <row r="226" customFormat="false" ht="15" hidden="false" customHeight="false" outlineLevel="0" collapsed="false">
      <c r="A226" s="19"/>
      <c r="B226" s="20"/>
      <c r="C226" s="16" t="str">
        <f aca="false">IF(B226="","",IFERROR(AVERAGEIFS($B$5:$B$504,$A$5:$A$504,"&gt;="&amp;A226-6,$A$5:$A$504,"&lt;="&amp;A226),""))</f>
        <v/>
      </c>
      <c r="D226" s="17" t="str">
        <f aca="false">IF(OR(C226="",COUNTIFS($A$5:$A$504,"&gt;="&amp;A226-13,$A$5:$A$504,"&lt;="&amp;A226-7)=0),"",C226-AVERAGEIFS($B$5:$B$504,$A$5:$A$504,"&gt;="&amp;A226-13,$A$5:$A$504,"&lt;="&amp;A226-7))</f>
        <v/>
      </c>
      <c r="E226" s="18" t="str">
        <f aca="false">IF(D226="","",IF(AND(D226&gt;=0.2,D226&lt;=0.35),"On target — change nothing",IF(D226&lt;0.2,"Gaining too slowly — add 200 kcal to training days","Gaining too fast — cut 200 kcal from training days")))</f>
        <v/>
      </c>
    </row>
    <row r="227" customFormat="false" ht="15" hidden="false" customHeight="false" outlineLevel="0" collapsed="false">
      <c r="A227" s="19"/>
      <c r="B227" s="20"/>
      <c r="C227" s="16" t="str">
        <f aca="false">IF(B227="","",IFERROR(AVERAGEIFS($B$5:$B$504,$A$5:$A$504,"&gt;="&amp;A227-6,$A$5:$A$504,"&lt;="&amp;A227),""))</f>
        <v/>
      </c>
      <c r="D227" s="17" t="str">
        <f aca="false">IF(OR(C227="",COUNTIFS($A$5:$A$504,"&gt;="&amp;A227-13,$A$5:$A$504,"&lt;="&amp;A227-7)=0),"",C227-AVERAGEIFS($B$5:$B$504,$A$5:$A$504,"&gt;="&amp;A227-13,$A$5:$A$504,"&lt;="&amp;A227-7))</f>
        <v/>
      </c>
      <c r="E227" s="18" t="str">
        <f aca="false">IF(D227="","",IF(AND(D227&gt;=0.2,D227&lt;=0.35),"On target — change nothing",IF(D227&lt;0.2,"Gaining too slowly — add 200 kcal to training days","Gaining too fast — cut 200 kcal from training days")))</f>
        <v/>
      </c>
    </row>
    <row r="228" customFormat="false" ht="15" hidden="false" customHeight="false" outlineLevel="0" collapsed="false">
      <c r="A228" s="19"/>
      <c r="B228" s="20"/>
      <c r="C228" s="16" t="str">
        <f aca="false">IF(B228="","",IFERROR(AVERAGEIFS($B$5:$B$504,$A$5:$A$504,"&gt;="&amp;A228-6,$A$5:$A$504,"&lt;="&amp;A228),""))</f>
        <v/>
      </c>
      <c r="D228" s="17" t="str">
        <f aca="false">IF(OR(C228="",COUNTIFS($A$5:$A$504,"&gt;="&amp;A228-13,$A$5:$A$504,"&lt;="&amp;A228-7)=0),"",C228-AVERAGEIFS($B$5:$B$504,$A$5:$A$504,"&gt;="&amp;A228-13,$A$5:$A$504,"&lt;="&amp;A228-7))</f>
        <v/>
      </c>
      <c r="E228" s="18" t="str">
        <f aca="false">IF(D228="","",IF(AND(D228&gt;=0.2,D228&lt;=0.35),"On target — change nothing",IF(D228&lt;0.2,"Gaining too slowly — add 200 kcal to training days","Gaining too fast — cut 200 kcal from training days")))</f>
        <v/>
      </c>
    </row>
    <row r="229" customFormat="false" ht="15" hidden="false" customHeight="false" outlineLevel="0" collapsed="false">
      <c r="A229" s="19"/>
      <c r="B229" s="20"/>
      <c r="C229" s="16" t="str">
        <f aca="false">IF(B229="","",IFERROR(AVERAGEIFS($B$5:$B$504,$A$5:$A$504,"&gt;="&amp;A229-6,$A$5:$A$504,"&lt;="&amp;A229),""))</f>
        <v/>
      </c>
      <c r="D229" s="17" t="str">
        <f aca="false">IF(OR(C229="",COUNTIFS($A$5:$A$504,"&gt;="&amp;A229-13,$A$5:$A$504,"&lt;="&amp;A229-7)=0),"",C229-AVERAGEIFS($B$5:$B$504,$A$5:$A$504,"&gt;="&amp;A229-13,$A$5:$A$504,"&lt;="&amp;A229-7))</f>
        <v/>
      </c>
      <c r="E229" s="18" t="str">
        <f aca="false">IF(D229="","",IF(AND(D229&gt;=0.2,D229&lt;=0.35),"On target — change nothing",IF(D229&lt;0.2,"Gaining too slowly — add 200 kcal to training days","Gaining too fast — cut 200 kcal from training days")))</f>
        <v/>
      </c>
    </row>
    <row r="230" customFormat="false" ht="15" hidden="false" customHeight="false" outlineLevel="0" collapsed="false">
      <c r="A230" s="19"/>
      <c r="B230" s="20"/>
      <c r="C230" s="16" t="str">
        <f aca="false">IF(B230="","",IFERROR(AVERAGEIFS($B$5:$B$504,$A$5:$A$504,"&gt;="&amp;A230-6,$A$5:$A$504,"&lt;="&amp;A230),""))</f>
        <v/>
      </c>
      <c r="D230" s="17" t="str">
        <f aca="false">IF(OR(C230="",COUNTIFS($A$5:$A$504,"&gt;="&amp;A230-13,$A$5:$A$504,"&lt;="&amp;A230-7)=0),"",C230-AVERAGEIFS($B$5:$B$504,$A$5:$A$504,"&gt;="&amp;A230-13,$A$5:$A$504,"&lt;="&amp;A230-7))</f>
        <v/>
      </c>
      <c r="E230" s="18" t="str">
        <f aca="false">IF(D230="","",IF(AND(D230&gt;=0.2,D230&lt;=0.35),"On target — change nothing",IF(D230&lt;0.2,"Gaining too slowly — add 200 kcal to training days","Gaining too fast — cut 200 kcal from training days")))</f>
        <v/>
      </c>
    </row>
    <row r="231" customFormat="false" ht="15" hidden="false" customHeight="false" outlineLevel="0" collapsed="false">
      <c r="A231" s="19"/>
      <c r="B231" s="20"/>
      <c r="C231" s="16" t="str">
        <f aca="false">IF(B231="","",IFERROR(AVERAGEIFS($B$5:$B$504,$A$5:$A$504,"&gt;="&amp;A231-6,$A$5:$A$504,"&lt;="&amp;A231),""))</f>
        <v/>
      </c>
      <c r="D231" s="17" t="str">
        <f aca="false">IF(OR(C231="",COUNTIFS($A$5:$A$504,"&gt;="&amp;A231-13,$A$5:$A$504,"&lt;="&amp;A231-7)=0),"",C231-AVERAGEIFS($B$5:$B$504,$A$5:$A$504,"&gt;="&amp;A231-13,$A$5:$A$504,"&lt;="&amp;A231-7))</f>
        <v/>
      </c>
      <c r="E231" s="18" t="str">
        <f aca="false">IF(D231="","",IF(AND(D231&gt;=0.2,D231&lt;=0.35),"On target — change nothing",IF(D231&lt;0.2,"Gaining too slowly — add 200 kcal to training days","Gaining too fast — cut 200 kcal from training days")))</f>
        <v/>
      </c>
    </row>
    <row r="232" customFormat="false" ht="15" hidden="false" customHeight="false" outlineLevel="0" collapsed="false">
      <c r="A232" s="19"/>
      <c r="B232" s="20"/>
      <c r="C232" s="16" t="str">
        <f aca="false">IF(B232="","",IFERROR(AVERAGEIFS($B$5:$B$504,$A$5:$A$504,"&gt;="&amp;A232-6,$A$5:$A$504,"&lt;="&amp;A232),""))</f>
        <v/>
      </c>
      <c r="D232" s="17" t="str">
        <f aca="false">IF(OR(C232="",COUNTIFS($A$5:$A$504,"&gt;="&amp;A232-13,$A$5:$A$504,"&lt;="&amp;A232-7)=0),"",C232-AVERAGEIFS($B$5:$B$504,$A$5:$A$504,"&gt;="&amp;A232-13,$A$5:$A$504,"&lt;="&amp;A232-7))</f>
        <v/>
      </c>
      <c r="E232" s="18" t="str">
        <f aca="false">IF(D232="","",IF(AND(D232&gt;=0.2,D232&lt;=0.35),"On target — change nothing",IF(D232&lt;0.2,"Gaining too slowly — add 200 kcal to training days","Gaining too fast — cut 200 kcal from training days")))</f>
        <v/>
      </c>
    </row>
    <row r="233" customFormat="false" ht="15" hidden="false" customHeight="false" outlineLevel="0" collapsed="false">
      <c r="A233" s="19"/>
      <c r="B233" s="20"/>
      <c r="C233" s="16" t="str">
        <f aca="false">IF(B233="","",IFERROR(AVERAGEIFS($B$5:$B$504,$A$5:$A$504,"&gt;="&amp;A233-6,$A$5:$A$504,"&lt;="&amp;A233),""))</f>
        <v/>
      </c>
      <c r="D233" s="17" t="str">
        <f aca="false">IF(OR(C233="",COUNTIFS($A$5:$A$504,"&gt;="&amp;A233-13,$A$5:$A$504,"&lt;="&amp;A233-7)=0),"",C233-AVERAGEIFS($B$5:$B$504,$A$5:$A$504,"&gt;="&amp;A233-13,$A$5:$A$504,"&lt;="&amp;A233-7))</f>
        <v/>
      </c>
      <c r="E233" s="18" t="str">
        <f aca="false">IF(D233="","",IF(AND(D233&gt;=0.2,D233&lt;=0.35),"On target — change nothing",IF(D233&lt;0.2,"Gaining too slowly — add 200 kcal to training days","Gaining too fast — cut 200 kcal from training days")))</f>
        <v/>
      </c>
    </row>
    <row r="234" customFormat="false" ht="15" hidden="false" customHeight="false" outlineLevel="0" collapsed="false">
      <c r="A234" s="19"/>
      <c r="B234" s="20"/>
      <c r="C234" s="16" t="str">
        <f aca="false">IF(B234="","",IFERROR(AVERAGEIFS($B$5:$B$504,$A$5:$A$504,"&gt;="&amp;A234-6,$A$5:$A$504,"&lt;="&amp;A234),""))</f>
        <v/>
      </c>
      <c r="D234" s="17" t="str">
        <f aca="false">IF(OR(C234="",COUNTIFS($A$5:$A$504,"&gt;="&amp;A234-13,$A$5:$A$504,"&lt;="&amp;A234-7)=0),"",C234-AVERAGEIFS($B$5:$B$504,$A$5:$A$504,"&gt;="&amp;A234-13,$A$5:$A$504,"&lt;="&amp;A234-7))</f>
        <v/>
      </c>
      <c r="E234" s="18" t="str">
        <f aca="false">IF(D234="","",IF(AND(D234&gt;=0.2,D234&lt;=0.35),"On target — change nothing",IF(D234&lt;0.2,"Gaining too slowly — add 200 kcal to training days","Gaining too fast — cut 200 kcal from training days")))</f>
        <v/>
      </c>
    </row>
    <row r="235" customFormat="false" ht="15" hidden="false" customHeight="false" outlineLevel="0" collapsed="false">
      <c r="A235" s="19"/>
      <c r="B235" s="20"/>
      <c r="C235" s="16" t="str">
        <f aca="false">IF(B235="","",IFERROR(AVERAGEIFS($B$5:$B$504,$A$5:$A$504,"&gt;="&amp;A235-6,$A$5:$A$504,"&lt;="&amp;A235),""))</f>
        <v/>
      </c>
      <c r="D235" s="17" t="str">
        <f aca="false">IF(OR(C235="",COUNTIFS($A$5:$A$504,"&gt;="&amp;A235-13,$A$5:$A$504,"&lt;="&amp;A235-7)=0),"",C235-AVERAGEIFS($B$5:$B$504,$A$5:$A$504,"&gt;="&amp;A235-13,$A$5:$A$504,"&lt;="&amp;A235-7))</f>
        <v/>
      </c>
      <c r="E235" s="18" t="str">
        <f aca="false">IF(D235="","",IF(AND(D235&gt;=0.2,D235&lt;=0.35),"On target — change nothing",IF(D235&lt;0.2,"Gaining too slowly — add 200 kcal to training days","Gaining too fast — cut 200 kcal from training days")))</f>
        <v/>
      </c>
    </row>
    <row r="236" customFormat="false" ht="15" hidden="false" customHeight="false" outlineLevel="0" collapsed="false">
      <c r="A236" s="19"/>
      <c r="B236" s="20"/>
      <c r="C236" s="16" t="str">
        <f aca="false">IF(B236="","",IFERROR(AVERAGEIFS($B$5:$B$504,$A$5:$A$504,"&gt;="&amp;A236-6,$A$5:$A$504,"&lt;="&amp;A236),""))</f>
        <v/>
      </c>
      <c r="D236" s="17" t="str">
        <f aca="false">IF(OR(C236="",COUNTIFS($A$5:$A$504,"&gt;="&amp;A236-13,$A$5:$A$504,"&lt;="&amp;A236-7)=0),"",C236-AVERAGEIFS($B$5:$B$504,$A$5:$A$504,"&gt;="&amp;A236-13,$A$5:$A$504,"&lt;="&amp;A236-7))</f>
        <v/>
      </c>
      <c r="E236" s="18" t="str">
        <f aca="false">IF(D236="","",IF(AND(D236&gt;=0.2,D236&lt;=0.35),"On target — change nothing",IF(D236&lt;0.2,"Gaining too slowly — add 200 kcal to training days","Gaining too fast — cut 200 kcal from training days")))</f>
        <v/>
      </c>
    </row>
    <row r="237" customFormat="false" ht="15" hidden="false" customHeight="false" outlineLevel="0" collapsed="false">
      <c r="A237" s="19"/>
      <c r="B237" s="20"/>
      <c r="C237" s="16" t="str">
        <f aca="false">IF(B237="","",IFERROR(AVERAGEIFS($B$5:$B$504,$A$5:$A$504,"&gt;="&amp;A237-6,$A$5:$A$504,"&lt;="&amp;A237),""))</f>
        <v/>
      </c>
      <c r="D237" s="17" t="str">
        <f aca="false">IF(OR(C237="",COUNTIFS($A$5:$A$504,"&gt;="&amp;A237-13,$A$5:$A$504,"&lt;="&amp;A237-7)=0),"",C237-AVERAGEIFS($B$5:$B$504,$A$5:$A$504,"&gt;="&amp;A237-13,$A$5:$A$504,"&lt;="&amp;A237-7))</f>
        <v/>
      </c>
      <c r="E237" s="18" t="str">
        <f aca="false">IF(D237="","",IF(AND(D237&gt;=0.2,D237&lt;=0.35),"On target — change nothing",IF(D237&lt;0.2,"Gaining too slowly — add 200 kcal to training days","Gaining too fast — cut 200 kcal from training days")))</f>
        <v/>
      </c>
    </row>
    <row r="238" customFormat="false" ht="15" hidden="false" customHeight="false" outlineLevel="0" collapsed="false">
      <c r="A238" s="19"/>
      <c r="B238" s="20"/>
      <c r="C238" s="16" t="str">
        <f aca="false">IF(B238="","",IFERROR(AVERAGEIFS($B$5:$B$504,$A$5:$A$504,"&gt;="&amp;A238-6,$A$5:$A$504,"&lt;="&amp;A238),""))</f>
        <v/>
      </c>
      <c r="D238" s="17" t="str">
        <f aca="false">IF(OR(C238="",COUNTIFS($A$5:$A$504,"&gt;="&amp;A238-13,$A$5:$A$504,"&lt;="&amp;A238-7)=0),"",C238-AVERAGEIFS($B$5:$B$504,$A$5:$A$504,"&gt;="&amp;A238-13,$A$5:$A$504,"&lt;="&amp;A238-7))</f>
        <v/>
      </c>
      <c r="E238" s="18" t="str">
        <f aca="false">IF(D238="","",IF(AND(D238&gt;=0.2,D238&lt;=0.35),"On target — change nothing",IF(D238&lt;0.2,"Gaining too slowly — add 200 kcal to training days","Gaining too fast — cut 200 kcal from training days")))</f>
        <v/>
      </c>
    </row>
    <row r="239" customFormat="false" ht="15" hidden="false" customHeight="false" outlineLevel="0" collapsed="false">
      <c r="A239" s="19"/>
      <c r="B239" s="20"/>
      <c r="C239" s="16" t="str">
        <f aca="false">IF(B239="","",IFERROR(AVERAGEIFS($B$5:$B$504,$A$5:$A$504,"&gt;="&amp;A239-6,$A$5:$A$504,"&lt;="&amp;A239),""))</f>
        <v/>
      </c>
      <c r="D239" s="17" t="str">
        <f aca="false">IF(OR(C239="",COUNTIFS($A$5:$A$504,"&gt;="&amp;A239-13,$A$5:$A$504,"&lt;="&amp;A239-7)=0),"",C239-AVERAGEIFS($B$5:$B$504,$A$5:$A$504,"&gt;="&amp;A239-13,$A$5:$A$504,"&lt;="&amp;A239-7))</f>
        <v/>
      </c>
      <c r="E239" s="18" t="str">
        <f aca="false">IF(D239="","",IF(AND(D239&gt;=0.2,D239&lt;=0.35),"On target — change nothing",IF(D239&lt;0.2,"Gaining too slowly — add 200 kcal to training days","Gaining too fast — cut 200 kcal from training days")))</f>
        <v/>
      </c>
    </row>
    <row r="240" customFormat="false" ht="15" hidden="false" customHeight="false" outlineLevel="0" collapsed="false">
      <c r="A240" s="19"/>
      <c r="B240" s="20"/>
      <c r="C240" s="16" t="str">
        <f aca="false">IF(B240="","",IFERROR(AVERAGEIFS($B$5:$B$504,$A$5:$A$504,"&gt;="&amp;A240-6,$A$5:$A$504,"&lt;="&amp;A240),""))</f>
        <v/>
      </c>
      <c r="D240" s="17" t="str">
        <f aca="false">IF(OR(C240="",COUNTIFS($A$5:$A$504,"&gt;="&amp;A240-13,$A$5:$A$504,"&lt;="&amp;A240-7)=0),"",C240-AVERAGEIFS($B$5:$B$504,$A$5:$A$504,"&gt;="&amp;A240-13,$A$5:$A$504,"&lt;="&amp;A240-7))</f>
        <v/>
      </c>
      <c r="E240" s="18" t="str">
        <f aca="false">IF(D240="","",IF(AND(D240&gt;=0.2,D240&lt;=0.35),"On target — change nothing",IF(D240&lt;0.2,"Gaining too slowly — add 200 kcal to training days","Gaining too fast — cut 200 kcal from training days")))</f>
        <v/>
      </c>
    </row>
    <row r="241" customFormat="false" ht="15" hidden="false" customHeight="false" outlineLevel="0" collapsed="false">
      <c r="A241" s="19"/>
      <c r="B241" s="20"/>
      <c r="C241" s="16" t="str">
        <f aca="false">IF(B241="","",IFERROR(AVERAGEIFS($B$5:$B$504,$A$5:$A$504,"&gt;="&amp;A241-6,$A$5:$A$504,"&lt;="&amp;A241),""))</f>
        <v/>
      </c>
      <c r="D241" s="17" t="str">
        <f aca="false">IF(OR(C241="",COUNTIFS($A$5:$A$504,"&gt;="&amp;A241-13,$A$5:$A$504,"&lt;="&amp;A241-7)=0),"",C241-AVERAGEIFS($B$5:$B$504,$A$5:$A$504,"&gt;="&amp;A241-13,$A$5:$A$504,"&lt;="&amp;A241-7))</f>
        <v/>
      </c>
      <c r="E241" s="18" t="str">
        <f aca="false">IF(D241="","",IF(AND(D241&gt;=0.2,D241&lt;=0.35),"On target — change nothing",IF(D241&lt;0.2,"Gaining too slowly — add 200 kcal to training days","Gaining too fast — cut 200 kcal from training days")))</f>
        <v/>
      </c>
    </row>
    <row r="242" customFormat="false" ht="15" hidden="false" customHeight="false" outlineLevel="0" collapsed="false">
      <c r="A242" s="19"/>
      <c r="B242" s="20"/>
      <c r="C242" s="16" t="str">
        <f aca="false">IF(B242="","",IFERROR(AVERAGEIFS($B$5:$B$504,$A$5:$A$504,"&gt;="&amp;A242-6,$A$5:$A$504,"&lt;="&amp;A242),""))</f>
        <v/>
      </c>
      <c r="D242" s="17" t="str">
        <f aca="false">IF(OR(C242="",COUNTIFS($A$5:$A$504,"&gt;="&amp;A242-13,$A$5:$A$504,"&lt;="&amp;A242-7)=0),"",C242-AVERAGEIFS($B$5:$B$504,$A$5:$A$504,"&gt;="&amp;A242-13,$A$5:$A$504,"&lt;="&amp;A242-7))</f>
        <v/>
      </c>
      <c r="E242" s="18" t="str">
        <f aca="false">IF(D242="","",IF(AND(D242&gt;=0.2,D242&lt;=0.35),"On target — change nothing",IF(D242&lt;0.2,"Gaining too slowly — add 200 kcal to training days","Gaining too fast — cut 200 kcal from training days")))</f>
        <v/>
      </c>
    </row>
    <row r="243" customFormat="false" ht="15" hidden="false" customHeight="false" outlineLevel="0" collapsed="false">
      <c r="A243" s="19"/>
      <c r="B243" s="20"/>
      <c r="C243" s="16" t="str">
        <f aca="false">IF(B243="","",IFERROR(AVERAGEIFS($B$5:$B$504,$A$5:$A$504,"&gt;="&amp;A243-6,$A$5:$A$504,"&lt;="&amp;A243),""))</f>
        <v/>
      </c>
      <c r="D243" s="17" t="str">
        <f aca="false">IF(OR(C243="",COUNTIFS($A$5:$A$504,"&gt;="&amp;A243-13,$A$5:$A$504,"&lt;="&amp;A243-7)=0),"",C243-AVERAGEIFS($B$5:$B$504,$A$5:$A$504,"&gt;="&amp;A243-13,$A$5:$A$504,"&lt;="&amp;A243-7))</f>
        <v/>
      </c>
      <c r="E243" s="18" t="str">
        <f aca="false">IF(D243="","",IF(AND(D243&gt;=0.2,D243&lt;=0.35),"On target — change nothing",IF(D243&lt;0.2,"Gaining too slowly — add 200 kcal to training days","Gaining too fast — cut 200 kcal from training days")))</f>
        <v/>
      </c>
    </row>
    <row r="244" customFormat="false" ht="15" hidden="false" customHeight="false" outlineLevel="0" collapsed="false">
      <c r="A244" s="19"/>
      <c r="B244" s="20"/>
      <c r="C244" s="16" t="str">
        <f aca="false">IF(B244="","",IFERROR(AVERAGEIFS($B$5:$B$504,$A$5:$A$504,"&gt;="&amp;A244-6,$A$5:$A$504,"&lt;="&amp;A244),""))</f>
        <v/>
      </c>
      <c r="D244" s="17" t="str">
        <f aca="false">IF(OR(C244="",COUNTIFS($A$5:$A$504,"&gt;="&amp;A244-13,$A$5:$A$504,"&lt;="&amp;A244-7)=0),"",C244-AVERAGEIFS($B$5:$B$504,$A$5:$A$504,"&gt;="&amp;A244-13,$A$5:$A$504,"&lt;="&amp;A244-7))</f>
        <v/>
      </c>
      <c r="E244" s="18" t="str">
        <f aca="false">IF(D244="","",IF(AND(D244&gt;=0.2,D244&lt;=0.35),"On target — change nothing",IF(D244&lt;0.2,"Gaining too slowly — add 200 kcal to training days","Gaining too fast — cut 200 kcal from training days")))</f>
        <v/>
      </c>
    </row>
    <row r="245" customFormat="false" ht="15" hidden="false" customHeight="false" outlineLevel="0" collapsed="false">
      <c r="A245" s="19"/>
      <c r="B245" s="20"/>
      <c r="C245" s="16" t="str">
        <f aca="false">IF(B245="","",IFERROR(AVERAGEIFS($B$5:$B$504,$A$5:$A$504,"&gt;="&amp;A245-6,$A$5:$A$504,"&lt;="&amp;A245),""))</f>
        <v/>
      </c>
      <c r="D245" s="17" t="str">
        <f aca="false">IF(OR(C245="",COUNTIFS($A$5:$A$504,"&gt;="&amp;A245-13,$A$5:$A$504,"&lt;="&amp;A245-7)=0),"",C245-AVERAGEIFS($B$5:$B$504,$A$5:$A$504,"&gt;="&amp;A245-13,$A$5:$A$504,"&lt;="&amp;A245-7))</f>
        <v/>
      </c>
      <c r="E245" s="18" t="str">
        <f aca="false">IF(D245="","",IF(AND(D245&gt;=0.2,D245&lt;=0.35),"On target — change nothing",IF(D245&lt;0.2,"Gaining too slowly — add 200 kcal to training days","Gaining too fast — cut 200 kcal from training days")))</f>
        <v/>
      </c>
    </row>
    <row r="246" customFormat="false" ht="15" hidden="false" customHeight="false" outlineLevel="0" collapsed="false">
      <c r="A246" s="19"/>
      <c r="B246" s="20"/>
      <c r="C246" s="16" t="str">
        <f aca="false">IF(B246="","",IFERROR(AVERAGEIFS($B$5:$B$504,$A$5:$A$504,"&gt;="&amp;A246-6,$A$5:$A$504,"&lt;="&amp;A246),""))</f>
        <v/>
      </c>
      <c r="D246" s="17" t="str">
        <f aca="false">IF(OR(C246="",COUNTIFS($A$5:$A$504,"&gt;="&amp;A246-13,$A$5:$A$504,"&lt;="&amp;A246-7)=0),"",C246-AVERAGEIFS($B$5:$B$504,$A$5:$A$504,"&gt;="&amp;A246-13,$A$5:$A$504,"&lt;="&amp;A246-7))</f>
        <v/>
      </c>
      <c r="E246" s="18" t="str">
        <f aca="false">IF(D246="","",IF(AND(D246&gt;=0.2,D246&lt;=0.35),"On target — change nothing",IF(D246&lt;0.2,"Gaining too slowly — add 200 kcal to training days","Gaining too fast — cut 200 kcal from training days")))</f>
        <v/>
      </c>
    </row>
    <row r="247" customFormat="false" ht="15" hidden="false" customHeight="false" outlineLevel="0" collapsed="false">
      <c r="A247" s="19"/>
      <c r="B247" s="20"/>
      <c r="C247" s="16" t="str">
        <f aca="false">IF(B247="","",IFERROR(AVERAGEIFS($B$5:$B$504,$A$5:$A$504,"&gt;="&amp;A247-6,$A$5:$A$504,"&lt;="&amp;A247),""))</f>
        <v/>
      </c>
      <c r="D247" s="17" t="str">
        <f aca="false">IF(OR(C247="",COUNTIFS($A$5:$A$504,"&gt;="&amp;A247-13,$A$5:$A$504,"&lt;="&amp;A247-7)=0),"",C247-AVERAGEIFS($B$5:$B$504,$A$5:$A$504,"&gt;="&amp;A247-13,$A$5:$A$504,"&lt;="&amp;A247-7))</f>
        <v/>
      </c>
      <c r="E247" s="18" t="str">
        <f aca="false">IF(D247="","",IF(AND(D247&gt;=0.2,D247&lt;=0.35),"On target — change nothing",IF(D247&lt;0.2,"Gaining too slowly — add 200 kcal to training days","Gaining too fast — cut 200 kcal from training days")))</f>
        <v/>
      </c>
    </row>
    <row r="248" customFormat="false" ht="15" hidden="false" customHeight="false" outlineLevel="0" collapsed="false">
      <c r="A248" s="19"/>
      <c r="B248" s="20"/>
      <c r="C248" s="16" t="str">
        <f aca="false">IF(B248="","",IFERROR(AVERAGEIFS($B$5:$B$504,$A$5:$A$504,"&gt;="&amp;A248-6,$A$5:$A$504,"&lt;="&amp;A248),""))</f>
        <v/>
      </c>
      <c r="D248" s="17" t="str">
        <f aca="false">IF(OR(C248="",COUNTIFS($A$5:$A$504,"&gt;="&amp;A248-13,$A$5:$A$504,"&lt;="&amp;A248-7)=0),"",C248-AVERAGEIFS($B$5:$B$504,$A$5:$A$504,"&gt;="&amp;A248-13,$A$5:$A$504,"&lt;="&amp;A248-7))</f>
        <v/>
      </c>
      <c r="E248" s="18" t="str">
        <f aca="false">IF(D248="","",IF(AND(D248&gt;=0.2,D248&lt;=0.35),"On target — change nothing",IF(D248&lt;0.2,"Gaining too slowly — add 200 kcal to training days","Gaining too fast — cut 200 kcal from training days")))</f>
        <v/>
      </c>
    </row>
    <row r="249" customFormat="false" ht="15" hidden="false" customHeight="false" outlineLevel="0" collapsed="false">
      <c r="A249" s="19"/>
      <c r="B249" s="20"/>
      <c r="C249" s="16" t="str">
        <f aca="false">IF(B249="","",IFERROR(AVERAGEIFS($B$5:$B$504,$A$5:$A$504,"&gt;="&amp;A249-6,$A$5:$A$504,"&lt;="&amp;A249),""))</f>
        <v/>
      </c>
      <c r="D249" s="17" t="str">
        <f aca="false">IF(OR(C249="",COUNTIFS($A$5:$A$504,"&gt;="&amp;A249-13,$A$5:$A$504,"&lt;="&amp;A249-7)=0),"",C249-AVERAGEIFS($B$5:$B$504,$A$5:$A$504,"&gt;="&amp;A249-13,$A$5:$A$504,"&lt;="&amp;A249-7))</f>
        <v/>
      </c>
      <c r="E249" s="18" t="str">
        <f aca="false">IF(D249="","",IF(AND(D249&gt;=0.2,D249&lt;=0.35),"On target — change nothing",IF(D249&lt;0.2,"Gaining too slowly — add 200 kcal to training days","Gaining too fast — cut 200 kcal from training days")))</f>
        <v/>
      </c>
    </row>
    <row r="250" customFormat="false" ht="15" hidden="false" customHeight="false" outlineLevel="0" collapsed="false">
      <c r="A250" s="19"/>
      <c r="B250" s="20"/>
      <c r="C250" s="16" t="str">
        <f aca="false">IF(B250="","",IFERROR(AVERAGEIFS($B$5:$B$504,$A$5:$A$504,"&gt;="&amp;A250-6,$A$5:$A$504,"&lt;="&amp;A250),""))</f>
        <v/>
      </c>
      <c r="D250" s="17" t="str">
        <f aca="false">IF(OR(C250="",COUNTIFS($A$5:$A$504,"&gt;="&amp;A250-13,$A$5:$A$504,"&lt;="&amp;A250-7)=0),"",C250-AVERAGEIFS($B$5:$B$504,$A$5:$A$504,"&gt;="&amp;A250-13,$A$5:$A$504,"&lt;="&amp;A250-7))</f>
        <v/>
      </c>
      <c r="E250" s="18" t="str">
        <f aca="false">IF(D250="","",IF(AND(D250&gt;=0.2,D250&lt;=0.35),"On target — change nothing",IF(D250&lt;0.2,"Gaining too slowly — add 200 kcal to training days","Gaining too fast — cut 200 kcal from training days")))</f>
        <v/>
      </c>
    </row>
    <row r="251" customFormat="false" ht="15" hidden="false" customHeight="false" outlineLevel="0" collapsed="false">
      <c r="A251" s="19"/>
      <c r="B251" s="20"/>
      <c r="C251" s="16" t="str">
        <f aca="false">IF(B251="","",IFERROR(AVERAGEIFS($B$5:$B$504,$A$5:$A$504,"&gt;="&amp;A251-6,$A$5:$A$504,"&lt;="&amp;A251),""))</f>
        <v/>
      </c>
      <c r="D251" s="17" t="str">
        <f aca="false">IF(OR(C251="",COUNTIFS($A$5:$A$504,"&gt;="&amp;A251-13,$A$5:$A$504,"&lt;="&amp;A251-7)=0),"",C251-AVERAGEIFS($B$5:$B$504,$A$5:$A$504,"&gt;="&amp;A251-13,$A$5:$A$504,"&lt;="&amp;A251-7))</f>
        <v/>
      </c>
      <c r="E251" s="18" t="str">
        <f aca="false">IF(D251="","",IF(AND(D251&gt;=0.2,D251&lt;=0.35),"On target — change nothing",IF(D251&lt;0.2,"Gaining too slowly — add 200 kcal to training days","Gaining too fast — cut 200 kcal from training days")))</f>
        <v/>
      </c>
    </row>
    <row r="252" customFormat="false" ht="15" hidden="false" customHeight="false" outlineLevel="0" collapsed="false">
      <c r="A252" s="19"/>
      <c r="B252" s="20"/>
      <c r="C252" s="16" t="str">
        <f aca="false">IF(B252="","",IFERROR(AVERAGEIFS($B$5:$B$504,$A$5:$A$504,"&gt;="&amp;A252-6,$A$5:$A$504,"&lt;="&amp;A252),""))</f>
        <v/>
      </c>
      <c r="D252" s="17" t="str">
        <f aca="false">IF(OR(C252="",COUNTIFS($A$5:$A$504,"&gt;="&amp;A252-13,$A$5:$A$504,"&lt;="&amp;A252-7)=0),"",C252-AVERAGEIFS($B$5:$B$504,$A$5:$A$504,"&gt;="&amp;A252-13,$A$5:$A$504,"&lt;="&amp;A252-7))</f>
        <v/>
      </c>
      <c r="E252" s="18" t="str">
        <f aca="false">IF(D252="","",IF(AND(D252&gt;=0.2,D252&lt;=0.35),"On target — change nothing",IF(D252&lt;0.2,"Gaining too slowly — add 200 kcal to training days","Gaining too fast — cut 200 kcal from training days")))</f>
        <v/>
      </c>
    </row>
    <row r="253" customFormat="false" ht="15" hidden="false" customHeight="false" outlineLevel="0" collapsed="false">
      <c r="A253" s="19"/>
      <c r="B253" s="20"/>
      <c r="C253" s="16" t="str">
        <f aca="false">IF(B253="","",IFERROR(AVERAGEIFS($B$5:$B$504,$A$5:$A$504,"&gt;="&amp;A253-6,$A$5:$A$504,"&lt;="&amp;A253),""))</f>
        <v/>
      </c>
      <c r="D253" s="17" t="str">
        <f aca="false">IF(OR(C253="",COUNTIFS($A$5:$A$504,"&gt;="&amp;A253-13,$A$5:$A$504,"&lt;="&amp;A253-7)=0),"",C253-AVERAGEIFS($B$5:$B$504,$A$5:$A$504,"&gt;="&amp;A253-13,$A$5:$A$504,"&lt;="&amp;A253-7))</f>
        <v/>
      </c>
      <c r="E253" s="18" t="str">
        <f aca="false">IF(D253="","",IF(AND(D253&gt;=0.2,D253&lt;=0.35),"On target — change nothing",IF(D253&lt;0.2,"Gaining too slowly — add 200 kcal to training days","Gaining too fast — cut 200 kcal from training days")))</f>
        <v/>
      </c>
    </row>
    <row r="254" customFormat="false" ht="15" hidden="false" customHeight="false" outlineLevel="0" collapsed="false">
      <c r="A254" s="19"/>
      <c r="B254" s="20"/>
      <c r="C254" s="16" t="str">
        <f aca="false">IF(B254="","",IFERROR(AVERAGEIFS($B$5:$B$504,$A$5:$A$504,"&gt;="&amp;A254-6,$A$5:$A$504,"&lt;="&amp;A254),""))</f>
        <v/>
      </c>
      <c r="D254" s="17" t="str">
        <f aca="false">IF(OR(C254="",COUNTIFS($A$5:$A$504,"&gt;="&amp;A254-13,$A$5:$A$504,"&lt;="&amp;A254-7)=0),"",C254-AVERAGEIFS($B$5:$B$504,$A$5:$A$504,"&gt;="&amp;A254-13,$A$5:$A$504,"&lt;="&amp;A254-7))</f>
        <v/>
      </c>
      <c r="E254" s="18" t="str">
        <f aca="false">IF(D254="","",IF(AND(D254&gt;=0.2,D254&lt;=0.35),"On target — change nothing",IF(D254&lt;0.2,"Gaining too slowly — add 200 kcal to training days","Gaining too fast — cut 200 kcal from training days")))</f>
        <v/>
      </c>
    </row>
    <row r="255" customFormat="false" ht="15" hidden="false" customHeight="false" outlineLevel="0" collapsed="false">
      <c r="A255" s="19"/>
      <c r="B255" s="20"/>
      <c r="C255" s="16" t="str">
        <f aca="false">IF(B255="","",IFERROR(AVERAGEIFS($B$5:$B$504,$A$5:$A$504,"&gt;="&amp;A255-6,$A$5:$A$504,"&lt;="&amp;A255),""))</f>
        <v/>
      </c>
      <c r="D255" s="17" t="str">
        <f aca="false">IF(OR(C255="",COUNTIFS($A$5:$A$504,"&gt;="&amp;A255-13,$A$5:$A$504,"&lt;="&amp;A255-7)=0),"",C255-AVERAGEIFS($B$5:$B$504,$A$5:$A$504,"&gt;="&amp;A255-13,$A$5:$A$504,"&lt;="&amp;A255-7))</f>
        <v/>
      </c>
      <c r="E255" s="18" t="str">
        <f aca="false">IF(D255="","",IF(AND(D255&gt;=0.2,D255&lt;=0.35),"On target — change nothing",IF(D255&lt;0.2,"Gaining too slowly — add 200 kcal to training days","Gaining too fast — cut 200 kcal from training days")))</f>
        <v/>
      </c>
    </row>
    <row r="256" customFormat="false" ht="15" hidden="false" customHeight="false" outlineLevel="0" collapsed="false">
      <c r="A256" s="19"/>
      <c r="B256" s="20"/>
      <c r="C256" s="16" t="str">
        <f aca="false">IF(B256="","",IFERROR(AVERAGEIFS($B$5:$B$504,$A$5:$A$504,"&gt;="&amp;A256-6,$A$5:$A$504,"&lt;="&amp;A256),""))</f>
        <v/>
      </c>
      <c r="D256" s="17" t="str">
        <f aca="false">IF(OR(C256="",COUNTIFS($A$5:$A$504,"&gt;="&amp;A256-13,$A$5:$A$504,"&lt;="&amp;A256-7)=0),"",C256-AVERAGEIFS($B$5:$B$504,$A$5:$A$504,"&gt;="&amp;A256-13,$A$5:$A$504,"&lt;="&amp;A256-7))</f>
        <v/>
      </c>
      <c r="E256" s="18" t="str">
        <f aca="false">IF(D256="","",IF(AND(D256&gt;=0.2,D256&lt;=0.35),"On target — change nothing",IF(D256&lt;0.2,"Gaining too slowly — add 200 kcal to training days","Gaining too fast — cut 200 kcal from training days")))</f>
        <v/>
      </c>
    </row>
    <row r="257" customFormat="false" ht="15" hidden="false" customHeight="false" outlineLevel="0" collapsed="false">
      <c r="A257" s="19"/>
      <c r="B257" s="20"/>
      <c r="C257" s="16" t="str">
        <f aca="false">IF(B257="","",IFERROR(AVERAGEIFS($B$5:$B$504,$A$5:$A$504,"&gt;="&amp;A257-6,$A$5:$A$504,"&lt;="&amp;A257),""))</f>
        <v/>
      </c>
      <c r="D257" s="17" t="str">
        <f aca="false">IF(OR(C257="",COUNTIFS($A$5:$A$504,"&gt;="&amp;A257-13,$A$5:$A$504,"&lt;="&amp;A257-7)=0),"",C257-AVERAGEIFS($B$5:$B$504,$A$5:$A$504,"&gt;="&amp;A257-13,$A$5:$A$504,"&lt;="&amp;A257-7))</f>
        <v/>
      </c>
      <c r="E257" s="18" t="str">
        <f aca="false">IF(D257="","",IF(AND(D257&gt;=0.2,D257&lt;=0.35),"On target — change nothing",IF(D257&lt;0.2,"Gaining too slowly — add 200 kcal to training days","Gaining too fast — cut 200 kcal from training days")))</f>
        <v/>
      </c>
    </row>
    <row r="258" customFormat="false" ht="15" hidden="false" customHeight="false" outlineLevel="0" collapsed="false">
      <c r="A258" s="19"/>
      <c r="B258" s="20"/>
      <c r="C258" s="16" t="str">
        <f aca="false">IF(B258="","",IFERROR(AVERAGEIFS($B$5:$B$504,$A$5:$A$504,"&gt;="&amp;A258-6,$A$5:$A$504,"&lt;="&amp;A258),""))</f>
        <v/>
      </c>
      <c r="D258" s="17" t="str">
        <f aca="false">IF(OR(C258="",COUNTIFS($A$5:$A$504,"&gt;="&amp;A258-13,$A$5:$A$504,"&lt;="&amp;A258-7)=0),"",C258-AVERAGEIFS($B$5:$B$504,$A$5:$A$504,"&gt;="&amp;A258-13,$A$5:$A$504,"&lt;="&amp;A258-7))</f>
        <v/>
      </c>
      <c r="E258" s="18" t="str">
        <f aca="false">IF(D258="","",IF(AND(D258&gt;=0.2,D258&lt;=0.35),"On target — change nothing",IF(D258&lt;0.2,"Gaining too slowly — add 200 kcal to training days","Gaining too fast — cut 200 kcal from training days")))</f>
        <v/>
      </c>
    </row>
    <row r="259" customFormat="false" ht="15" hidden="false" customHeight="false" outlineLevel="0" collapsed="false">
      <c r="A259" s="19"/>
      <c r="B259" s="20"/>
      <c r="C259" s="16" t="str">
        <f aca="false">IF(B259="","",IFERROR(AVERAGEIFS($B$5:$B$504,$A$5:$A$504,"&gt;="&amp;A259-6,$A$5:$A$504,"&lt;="&amp;A259),""))</f>
        <v/>
      </c>
      <c r="D259" s="17" t="str">
        <f aca="false">IF(OR(C259="",COUNTIFS($A$5:$A$504,"&gt;="&amp;A259-13,$A$5:$A$504,"&lt;="&amp;A259-7)=0),"",C259-AVERAGEIFS($B$5:$B$504,$A$5:$A$504,"&gt;="&amp;A259-13,$A$5:$A$504,"&lt;="&amp;A259-7))</f>
        <v/>
      </c>
      <c r="E259" s="18" t="str">
        <f aca="false">IF(D259="","",IF(AND(D259&gt;=0.2,D259&lt;=0.35),"On target — change nothing",IF(D259&lt;0.2,"Gaining too slowly — add 200 kcal to training days","Gaining too fast — cut 200 kcal from training days")))</f>
        <v/>
      </c>
    </row>
    <row r="260" customFormat="false" ht="15" hidden="false" customHeight="false" outlineLevel="0" collapsed="false">
      <c r="A260" s="19"/>
      <c r="B260" s="20"/>
      <c r="C260" s="16" t="str">
        <f aca="false">IF(B260="","",IFERROR(AVERAGEIFS($B$5:$B$504,$A$5:$A$504,"&gt;="&amp;A260-6,$A$5:$A$504,"&lt;="&amp;A260),""))</f>
        <v/>
      </c>
      <c r="D260" s="17" t="str">
        <f aca="false">IF(OR(C260="",COUNTIFS($A$5:$A$504,"&gt;="&amp;A260-13,$A$5:$A$504,"&lt;="&amp;A260-7)=0),"",C260-AVERAGEIFS($B$5:$B$504,$A$5:$A$504,"&gt;="&amp;A260-13,$A$5:$A$504,"&lt;="&amp;A260-7))</f>
        <v/>
      </c>
      <c r="E260" s="18" t="str">
        <f aca="false">IF(D260="","",IF(AND(D260&gt;=0.2,D260&lt;=0.35),"On target — change nothing",IF(D260&lt;0.2,"Gaining too slowly — add 200 kcal to training days","Gaining too fast — cut 200 kcal from training days")))</f>
        <v/>
      </c>
    </row>
    <row r="261" customFormat="false" ht="15" hidden="false" customHeight="false" outlineLevel="0" collapsed="false">
      <c r="A261" s="19"/>
      <c r="B261" s="20"/>
      <c r="C261" s="16" t="str">
        <f aca="false">IF(B261="","",IFERROR(AVERAGEIFS($B$5:$B$504,$A$5:$A$504,"&gt;="&amp;A261-6,$A$5:$A$504,"&lt;="&amp;A261),""))</f>
        <v/>
      </c>
      <c r="D261" s="17" t="str">
        <f aca="false">IF(OR(C261="",COUNTIFS($A$5:$A$504,"&gt;="&amp;A261-13,$A$5:$A$504,"&lt;="&amp;A261-7)=0),"",C261-AVERAGEIFS($B$5:$B$504,$A$5:$A$504,"&gt;="&amp;A261-13,$A$5:$A$504,"&lt;="&amp;A261-7))</f>
        <v/>
      </c>
      <c r="E261" s="18" t="str">
        <f aca="false">IF(D261="","",IF(AND(D261&gt;=0.2,D261&lt;=0.35),"On target — change nothing",IF(D261&lt;0.2,"Gaining too slowly — add 200 kcal to training days","Gaining too fast — cut 200 kcal from training days")))</f>
        <v/>
      </c>
    </row>
    <row r="262" customFormat="false" ht="15" hidden="false" customHeight="false" outlineLevel="0" collapsed="false">
      <c r="A262" s="19"/>
      <c r="B262" s="20"/>
      <c r="C262" s="16" t="str">
        <f aca="false">IF(B262="","",IFERROR(AVERAGEIFS($B$5:$B$504,$A$5:$A$504,"&gt;="&amp;A262-6,$A$5:$A$504,"&lt;="&amp;A262),""))</f>
        <v/>
      </c>
      <c r="D262" s="17" t="str">
        <f aca="false">IF(OR(C262="",COUNTIFS($A$5:$A$504,"&gt;="&amp;A262-13,$A$5:$A$504,"&lt;="&amp;A262-7)=0),"",C262-AVERAGEIFS($B$5:$B$504,$A$5:$A$504,"&gt;="&amp;A262-13,$A$5:$A$504,"&lt;="&amp;A262-7))</f>
        <v/>
      </c>
      <c r="E262" s="18" t="str">
        <f aca="false">IF(D262="","",IF(AND(D262&gt;=0.2,D262&lt;=0.35),"On target — change nothing",IF(D262&lt;0.2,"Gaining too slowly — add 200 kcal to training days","Gaining too fast — cut 200 kcal from training days")))</f>
        <v/>
      </c>
    </row>
    <row r="263" customFormat="false" ht="15" hidden="false" customHeight="false" outlineLevel="0" collapsed="false">
      <c r="A263" s="19"/>
      <c r="B263" s="20"/>
      <c r="C263" s="16" t="str">
        <f aca="false">IF(B263="","",IFERROR(AVERAGEIFS($B$5:$B$504,$A$5:$A$504,"&gt;="&amp;A263-6,$A$5:$A$504,"&lt;="&amp;A263),""))</f>
        <v/>
      </c>
      <c r="D263" s="17" t="str">
        <f aca="false">IF(OR(C263="",COUNTIFS($A$5:$A$504,"&gt;="&amp;A263-13,$A$5:$A$504,"&lt;="&amp;A263-7)=0),"",C263-AVERAGEIFS($B$5:$B$504,$A$5:$A$504,"&gt;="&amp;A263-13,$A$5:$A$504,"&lt;="&amp;A263-7))</f>
        <v/>
      </c>
      <c r="E263" s="18" t="str">
        <f aca="false">IF(D263="","",IF(AND(D263&gt;=0.2,D263&lt;=0.35),"On target — change nothing",IF(D263&lt;0.2,"Gaining too slowly — add 200 kcal to training days","Gaining too fast — cut 200 kcal from training days")))</f>
        <v/>
      </c>
    </row>
    <row r="264" customFormat="false" ht="15" hidden="false" customHeight="false" outlineLevel="0" collapsed="false">
      <c r="A264" s="19"/>
      <c r="B264" s="20"/>
      <c r="C264" s="16" t="str">
        <f aca="false">IF(B264="","",IFERROR(AVERAGEIFS($B$5:$B$504,$A$5:$A$504,"&gt;="&amp;A264-6,$A$5:$A$504,"&lt;="&amp;A264),""))</f>
        <v/>
      </c>
      <c r="D264" s="17" t="str">
        <f aca="false">IF(OR(C264="",COUNTIFS($A$5:$A$504,"&gt;="&amp;A264-13,$A$5:$A$504,"&lt;="&amp;A264-7)=0),"",C264-AVERAGEIFS($B$5:$B$504,$A$5:$A$504,"&gt;="&amp;A264-13,$A$5:$A$504,"&lt;="&amp;A264-7))</f>
        <v/>
      </c>
      <c r="E264" s="18" t="str">
        <f aca="false">IF(D264="","",IF(AND(D264&gt;=0.2,D264&lt;=0.35),"On target — change nothing",IF(D264&lt;0.2,"Gaining too slowly — add 200 kcal to training days","Gaining too fast — cut 200 kcal from training days")))</f>
        <v/>
      </c>
    </row>
    <row r="265" customFormat="false" ht="15" hidden="false" customHeight="false" outlineLevel="0" collapsed="false">
      <c r="A265" s="19"/>
      <c r="B265" s="20"/>
      <c r="C265" s="16" t="str">
        <f aca="false">IF(B265="","",IFERROR(AVERAGEIFS($B$5:$B$504,$A$5:$A$504,"&gt;="&amp;A265-6,$A$5:$A$504,"&lt;="&amp;A265),""))</f>
        <v/>
      </c>
      <c r="D265" s="17" t="str">
        <f aca="false">IF(OR(C265="",COUNTIFS($A$5:$A$504,"&gt;="&amp;A265-13,$A$5:$A$504,"&lt;="&amp;A265-7)=0),"",C265-AVERAGEIFS($B$5:$B$504,$A$5:$A$504,"&gt;="&amp;A265-13,$A$5:$A$504,"&lt;="&amp;A265-7))</f>
        <v/>
      </c>
      <c r="E265" s="18" t="str">
        <f aca="false">IF(D265="","",IF(AND(D265&gt;=0.2,D265&lt;=0.35),"On target — change nothing",IF(D265&lt;0.2,"Gaining too slowly — add 200 kcal to training days","Gaining too fast — cut 200 kcal from training days")))</f>
        <v/>
      </c>
    </row>
    <row r="266" customFormat="false" ht="15" hidden="false" customHeight="false" outlineLevel="0" collapsed="false">
      <c r="A266" s="19"/>
      <c r="B266" s="20"/>
      <c r="C266" s="16" t="str">
        <f aca="false">IF(B266="","",IFERROR(AVERAGEIFS($B$5:$B$504,$A$5:$A$504,"&gt;="&amp;A266-6,$A$5:$A$504,"&lt;="&amp;A266),""))</f>
        <v/>
      </c>
      <c r="D266" s="17" t="str">
        <f aca="false">IF(OR(C266="",COUNTIFS($A$5:$A$504,"&gt;="&amp;A266-13,$A$5:$A$504,"&lt;="&amp;A266-7)=0),"",C266-AVERAGEIFS($B$5:$B$504,$A$5:$A$504,"&gt;="&amp;A266-13,$A$5:$A$504,"&lt;="&amp;A266-7))</f>
        <v/>
      </c>
      <c r="E266" s="18" t="str">
        <f aca="false">IF(D266="","",IF(AND(D266&gt;=0.2,D266&lt;=0.35),"On target — change nothing",IF(D266&lt;0.2,"Gaining too slowly — add 200 kcal to training days","Gaining too fast — cut 200 kcal from training days")))</f>
        <v/>
      </c>
    </row>
    <row r="267" customFormat="false" ht="15" hidden="false" customHeight="false" outlineLevel="0" collapsed="false">
      <c r="A267" s="19"/>
      <c r="B267" s="20"/>
      <c r="C267" s="16" t="str">
        <f aca="false">IF(B267="","",IFERROR(AVERAGEIFS($B$5:$B$504,$A$5:$A$504,"&gt;="&amp;A267-6,$A$5:$A$504,"&lt;="&amp;A267),""))</f>
        <v/>
      </c>
      <c r="D267" s="17" t="str">
        <f aca="false">IF(OR(C267="",COUNTIFS($A$5:$A$504,"&gt;="&amp;A267-13,$A$5:$A$504,"&lt;="&amp;A267-7)=0),"",C267-AVERAGEIFS($B$5:$B$504,$A$5:$A$504,"&gt;="&amp;A267-13,$A$5:$A$504,"&lt;="&amp;A267-7))</f>
        <v/>
      </c>
      <c r="E267" s="18" t="str">
        <f aca="false">IF(D267="","",IF(AND(D267&gt;=0.2,D267&lt;=0.35),"On target — change nothing",IF(D267&lt;0.2,"Gaining too slowly — add 200 kcal to training days","Gaining too fast — cut 200 kcal from training days")))</f>
        <v/>
      </c>
    </row>
    <row r="268" customFormat="false" ht="15" hidden="false" customHeight="false" outlineLevel="0" collapsed="false">
      <c r="A268" s="19"/>
      <c r="B268" s="20"/>
      <c r="C268" s="16" t="str">
        <f aca="false">IF(B268="","",IFERROR(AVERAGEIFS($B$5:$B$504,$A$5:$A$504,"&gt;="&amp;A268-6,$A$5:$A$504,"&lt;="&amp;A268),""))</f>
        <v/>
      </c>
      <c r="D268" s="17" t="str">
        <f aca="false">IF(OR(C268="",COUNTIFS($A$5:$A$504,"&gt;="&amp;A268-13,$A$5:$A$504,"&lt;="&amp;A268-7)=0),"",C268-AVERAGEIFS($B$5:$B$504,$A$5:$A$504,"&gt;="&amp;A268-13,$A$5:$A$504,"&lt;="&amp;A268-7))</f>
        <v/>
      </c>
      <c r="E268" s="18" t="str">
        <f aca="false">IF(D268="","",IF(AND(D268&gt;=0.2,D268&lt;=0.35),"On target — change nothing",IF(D268&lt;0.2,"Gaining too slowly — add 200 kcal to training days","Gaining too fast — cut 200 kcal from training days")))</f>
        <v/>
      </c>
    </row>
    <row r="269" customFormat="false" ht="15" hidden="false" customHeight="false" outlineLevel="0" collapsed="false">
      <c r="A269" s="19"/>
      <c r="B269" s="20"/>
      <c r="C269" s="16" t="str">
        <f aca="false">IF(B269="","",IFERROR(AVERAGEIFS($B$5:$B$504,$A$5:$A$504,"&gt;="&amp;A269-6,$A$5:$A$504,"&lt;="&amp;A269),""))</f>
        <v/>
      </c>
      <c r="D269" s="17" t="str">
        <f aca="false">IF(OR(C269="",COUNTIFS($A$5:$A$504,"&gt;="&amp;A269-13,$A$5:$A$504,"&lt;="&amp;A269-7)=0),"",C269-AVERAGEIFS($B$5:$B$504,$A$5:$A$504,"&gt;="&amp;A269-13,$A$5:$A$504,"&lt;="&amp;A269-7))</f>
        <v/>
      </c>
      <c r="E269" s="18" t="str">
        <f aca="false">IF(D269="","",IF(AND(D269&gt;=0.2,D269&lt;=0.35),"On target — change nothing",IF(D269&lt;0.2,"Gaining too slowly — add 200 kcal to training days","Gaining too fast — cut 200 kcal from training days")))</f>
        <v/>
      </c>
    </row>
    <row r="270" customFormat="false" ht="15" hidden="false" customHeight="false" outlineLevel="0" collapsed="false">
      <c r="A270" s="19"/>
      <c r="B270" s="20"/>
      <c r="C270" s="16" t="str">
        <f aca="false">IF(B270="","",IFERROR(AVERAGEIFS($B$5:$B$504,$A$5:$A$504,"&gt;="&amp;A270-6,$A$5:$A$504,"&lt;="&amp;A270),""))</f>
        <v/>
      </c>
      <c r="D270" s="17" t="str">
        <f aca="false">IF(OR(C270="",COUNTIFS($A$5:$A$504,"&gt;="&amp;A270-13,$A$5:$A$504,"&lt;="&amp;A270-7)=0),"",C270-AVERAGEIFS($B$5:$B$504,$A$5:$A$504,"&gt;="&amp;A270-13,$A$5:$A$504,"&lt;="&amp;A270-7))</f>
        <v/>
      </c>
      <c r="E270" s="18" t="str">
        <f aca="false">IF(D270="","",IF(AND(D270&gt;=0.2,D270&lt;=0.35),"On target — change nothing",IF(D270&lt;0.2,"Gaining too slowly — add 200 kcal to training days","Gaining too fast — cut 200 kcal from training days")))</f>
        <v/>
      </c>
    </row>
    <row r="271" customFormat="false" ht="15" hidden="false" customHeight="false" outlineLevel="0" collapsed="false">
      <c r="A271" s="19"/>
      <c r="B271" s="20"/>
      <c r="C271" s="16" t="str">
        <f aca="false">IF(B271="","",IFERROR(AVERAGEIFS($B$5:$B$504,$A$5:$A$504,"&gt;="&amp;A271-6,$A$5:$A$504,"&lt;="&amp;A271),""))</f>
        <v/>
      </c>
      <c r="D271" s="17" t="str">
        <f aca="false">IF(OR(C271="",COUNTIFS($A$5:$A$504,"&gt;="&amp;A271-13,$A$5:$A$504,"&lt;="&amp;A271-7)=0),"",C271-AVERAGEIFS($B$5:$B$504,$A$5:$A$504,"&gt;="&amp;A271-13,$A$5:$A$504,"&lt;="&amp;A271-7))</f>
        <v/>
      </c>
      <c r="E271" s="18" t="str">
        <f aca="false">IF(D271="","",IF(AND(D271&gt;=0.2,D271&lt;=0.35),"On target — change nothing",IF(D271&lt;0.2,"Gaining too slowly — add 200 kcal to training days","Gaining too fast — cut 200 kcal from training days")))</f>
        <v/>
      </c>
    </row>
    <row r="272" customFormat="false" ht="15" hidden="false" customHeight="false" outlineLevel="0" collapsed="false">
      <c r="A272" s="19"/>
      <c r="B272" s="20"/>
      <c r="C272" s="16" t="str">
        <f aca="false">IF(B272="","",IFERROR(AVERAGEIFS($B$5:$B$504,$A$5:$A$504,"&gt;="&amp;A272-6,$A$5:$A$504,"&lt;="&amp;A272),""))</f>
        <v/>
      </c>
      <c r="D272" s="17" t="str">
        <f aca="false">IF(OR(C272="",COUNTIFS($A$5:$A$504,"&gt;="&amp;A272-13,$A$5:$A$504,"&lt;="&amp;A272-7)=0),"",C272-AVERAGEIFS($B$5:$B$504,$A$5:$A$504,"&gt;="&amp;A272-13,$A$5:$A$504,"&lt;="&amp;A272-7))</f>
        <v/>
      </c>
      <c r="E272" s="18" t="str">
        <f aca="false">IF(D272="","",IF(AND(D272&gt;=0.2,D272&lt;=0.35),"On target — change nothing",IF(D272&lt;0.2,"Gaining too slowly — add 200 kcal to training days","Gaining too fast — cut 200 kcal from training days")))</f>
        <v/>
      </c>
    </row>
    <row r="273" customFormat="false" ht="15" hidden="false" customHeight="false" outlineLevel="0" collapsed="false">
      <c r="A273" s="19"/>
      <c r="B273" s="20"/>
      <c r="C273" s="16" t="str">
        <f aca="false">IF(B273="","",IFERROR(AVERAGEIFS($B$5:$B$504,$A$5:$A$504,"&gt;="&amp;A273-6,$A$5:$A$504,"&lt;="&amp;A273),""))</f>
        <v/>
      </c>
      <c r="D273" s="17" t="str">
        <f aca="false">IF(OR(C273="",COUNTIFS($A$5:$A$504,"&gt;="&amp;A273-13,$A$5:$A$504,"&lt;="&amp;A273-7)=0),"",C273-AVERAGEIFS($B$5:$B$504,$A$5:$A$504,"&gt;="&amp;A273-13,$A$5:$A$504,"&lt;="&amp;A273-7))</f>
        <v/>
      </c>
      <c r="E273" s="18" t="str">
        <f aca="false">IF(D273="","",IF(AND(D273&gt;=0.2,D273&lt;=0.35),"On target — change nothing",IF(D273&lt;0.2,"Gaining too slowly — add 200 kcal to training days","Gaining too fast — cut 200 kcal from training days")))</f>
        <v/>
      </c>
    </row>
    <row r="274" customFormat="false" ht="15" hidden="false" customHeight="false" outlineLevel="0" collapsed="false">
      <c r="A274" s="19"/>
      <c r="B274" s="20"/>
      <c r="C274" s="16" t="str">
        <f aca="false">IF(B274="","",IFERROR(AVERAGEIFS($B$5:$B$504,$A$5:$A$504,"&gt;="&amp;A274-6,$A$5:$A$504,"&lt;="&amp;A274),""))</f>
        <v/>
      </c>
      <c r="D274" s="17" t="str">
        <f aca="false">IF(OR(C274="",COUNTIFS($A$5:$A$504,"&gt;="&amp;A274-13,$A$5:$A$504,"&lt;="&amp;A274-7)=0),"",C274-AVERAGEIFS($B$5:$B$504,$A$5:$A$504,"&gt;="&amp;A274-13,$A$5:$A$504,"&lt;="&amp;A274-7))</f>
        <v/>
      </c>
      <c r="E274" s="18" t="str">
        <f aca="false">IF(D274="","",IF(AND(D274&gt;=0.2,D274&lt;=0.35),"On target — change nothing",IF(D274&lt;0.2,"Gaining too slowly — add 200 kcal to training days","Gaining too fast — cut 200 kcal from training days")))</f>
        <v/>
      </c>
    </row>
    <row r="275" customFormat="false" ht="15" hidden="false" customHeight="false" outlineLevel="0" collapsed="false">
      <c r="A275" s="19"/>
      <c r="B275" s="20"/>
      <c r="C275" s="16" t="str">
        <f aca="false">IF(B275="","",IFERROR(AVERAGEIFS($B$5:$B$504,$A$5:$A$504,"&gt;="&amp;A275-6,$A$5:$A$504,"&lt;="&amp;A275),""))</f>
        <v/>
      </c>
      <c r="D275" s="17" t="str">
        <f aca="false">IF(OR(C275="",COUNTIFS($A$5:$A$504,"&gt;="&amp;A275-13,$A$5:$A$504,"&lt;="&amp;A275-7)=0),"",C275-AVERAGEIFS($B$5:$B$504,$A$5:$A$504,"&gt;="&amp;A275-13,$A$5:$A$504,"&lt;="&amp;A275-7))</f>
        <v/>
      </c>
      <c r="E275" s="18" t="str">
        <f aca="false">IF(D275="","",IF(AND(D275&gt;=0.2,D275&lt;=0.35),"On target — change nothing",IF(D275&lt;0.2,"Gaining too slowly — add 200 kcal to training days","Gaining too fast — cut 200 kcal from training days")))</f>
        <v/>
      </c>
    </row>
    <row r="276" customFormat="false" ht="15" hidden="false" customHeight="false" outlineLevel="0" collapsed="false">
      <c r="A276" s="19"/>
      <c r="B276" s="20"/>
      <c r="C276" s="16" t="str">
        <f aca="false">IF(B276="","",IFERROR(AVERAGEIFS($B$5:$B$504,$A$5:$A$504,"&gt;="&amp;A276-6,$A$5:$A$504,"&lt;="&amp;A276),""))</f>
        <v/>
      </c>
      <c r="D276" s="17" t="str">
        <f aca="false">IF(OR(C276="",COUNTIFS($A$5:$A$504,"&gt;="&amp;A276-13,$A$5:$A$504,"&lt;="&amp;A276-7)=0),"",C276-AVERAGEIFS($B$5:$B$504,$A$5:$A$504,"&gt;="&amp;A276-13,$A$5:$A$504,"&lt;="&amp;A276-7))</f>
        <v/>
      </c>
      <c r="E276" s="18" t="str">
        <f aca="false">IF(D276="","",IF(AND(D276&gt;=0.2,D276&lt;=0.35),"On target — change nothing",IF(D276&lt;0.2,"Gaining too slowly — add 200 kcal to training days","Gaining too fast — cut 200 kcal from training days")))</f>
        <v/>
      </c>
    </row>
    <row r="277" customFormat="false" ht="15" hidden="false" customHeight="false" outlineLevel="0" collapsed="false">
      <c r="A277" s="19"/>
      <c r="B277" s="20"/>
      <c r="C277" s="16" t="str">
        <f aca="false">IF(B277="","",IFERROR(AVERAGEIFS($B$5:$B$504,$A$5:$A$504,"&gt;="&amp;A277-6,$A$5:$A$504,"&lt;="&amp;A277),""))</f>
        <v/>
      </c>
      <c r="D277" s="17" t="str">
        <f aca="false">IF(OR(C277="",COUNTIFS($A$5:$A$504,"&gt;="&amp;A277-13,$A$5:$A$504,"&lt;="&amp;A277-7)=0),"",C277-AVERAGEIFS($B$5:$B$504,$A$5:$A$504,"&gt;="&amp;A277-13,$A$5:$A$504,"&lt;="&amp;A277-7))</f>
        <v/>
      </c>
      <c r="E277" s="18" t="str">
        <f aca="false">IF(D277="","",IF(AND(D277&gt;=0.2,D277&lt;=0.35),"On target — change nothing",IF(D277&lt;0.2,"Gaining too slowly — add 200 kcal to training days","Gaining too fast — cut 200 kcal from training days")))</f>
        <v/>
      </c>
    </row>
    <row r="278" customFormat="false" ht="15" hidden="false" customHeight="false" outlineLevel="0" collapsed="false">
      <c r="A278" s="19"/>
      <c r="B278" s="20"/>
      <c r="C278" s="16" t="str">
        <f aca="false">IF(B278="","",IFERROR(AVERAGEIFS($B$5:$B$504,$A$5:$A$504,"&gt;="&amp;A278-6,$A$5:$A$504,"&lt;="&amp;A278),""))</f>
        <v/>
      </c>
      <c r="D278" s="17" t="str">
        <f aca="false">IF(OR(C278="",COUNTIFS($A$5:$A$504,"&gt;="&amp;A278-13,$A$5:$A$504,"&lt;="&amp;A278-7)=0),"",C278-AVERAGEIFS($B$5:$B$504,$A$5:$A$504,"&gt;="&amp;A278-13,$A$5:$A$504,"&lt;="&amp;A278-7))</f>
        <v/>
      </c>
      <c r="E278" s="18" t="str">
        <f aca="false">IF(D278="","",IF(AND(D278&gt;=0.2,D278&lt;=0.35),"On target — change nothing",IF(D278&lt;0.2,"Gaining too slowly — add 200 kcal to training days","Gaining too fast — cut 200 kcal from training days")))</f>
        <v/>
      </c>
    </row>
    <row r="279" customFormat="false" ht="15" hidden="false" customHeight="false" outlineLevel="0" collapsed="false">
      <c r="A279" s="19"/>
      <c r="B279" s="20"/>
      <c r="C279" s="16" t="str">
        <f aca="false">IF(B279="","",IFERROR(AVERAGEIFS($B$5:$B$504,$A$5:$A$504,"&gt;="&amp;A279-6,$A$5:$A$504,"&lt;="&amp;A279),""))</f>
        <v/>
      </c>
      <c r="D279" s="17" t="str">
        <f aca="false">IF(OR(C279="",COUNTIFS($A$5:$A$504,"&gt;="&amp;A279-13,$A$5:$A$504,"&lt;="&amp;A279-7)=0),"",C279-AVERAGEIFS($B$5:$B$504,$A$5:$A$504,"&gt;="&amp;A279-13,$A$5:$A$504,"&lt;="&amp;A279-7))</f>
        <v/>
      </c>
      <c r="E279" s="18" t="str">
        <f aca="false">IF(D279="","",IF(AND(D279&gt;=0.2,D279&lt;=0.35),"On target — change nothing",IF(D279&lt;0.2,"Gaining too slowly — add 200 kcal to training days","Gaining too fast — cut 200 kcal from training days")))</f>
        <v/>
      </c>
    </row>
    <row r="280" customFormat="false" ht="15" hidden="false" customHeight="false" outlineLevel="0" collapsed="false">
      <c r="A280" s="19"/>
      <c r="B280" s="20"/>
      <c r="C280" s="16" t="str">
        <f aca="false">IF(B280="","",IFERROR(AVERAGEIFS($B$5:$B$504,$A$5:$A$504,"&gt;="&amp;A280-6,$A$5:$A$504,"&lt;="&amp;A280),""))</f>
        <v/>
      </c>
      <c r="D280" s="17" t="str">
        <f aca="false">IF(OR(C280="",COUNTIFS($A$5:$A$504,"&gt;="&amp;A280-13,$A$5:$A$504,"&lt;="&amp;A280-7)=0),"",C280-AVERAGEIFS($B$5:$B$504,$A$5:$A$504,"&gt;="&amp;A280-13,$A$5:$A$504,"&lt;="&amp;A280-7))</f>
        <v/>
      </c>
      <c r="E280" s="18" t="str">
        <f aca="false">IF(D280="","",IF(AND(D280&gt;=0.2,D280&lt;=0.35),"On target — change nothing",IF(D280&lt;0.2,"Gaining too slowly — add 200 kcal to training days","Gaining too fast — cut 200 kcal from training days")))</f>
        <v/>
      </c>
    </row>
    <row r="281" customFormat="false" ht="15" hidden="false" customHeight="false" outlineLevel="0" collapsed="false">
      <c r="A281" s="19"/>
      <c r="B281" s="20"/>
      <c r="C281" s="16" t="str">
        <f aca="false">IF(B281="","",IFERROR(AVERAGEIFS($B$5:$B$504,$A$5:$A$504,"&gt;="&amp;A281-6,$A$5:$A$504,"&lt;="&amp;A281),""))</f>
        <v/>
      </c>
      <c r="D281" s="17" t="str">
        <f aca="false">IF(OR(C281="",COUNTIFS($A$5:$A$504,"&gt;="&amp;A281-13,$A$5:$A$504,"&lt;="&amp;A281-7)=0),"",C281-AVERAGEIFS($B$5:$B$504,$A$5:$A$504,"&gt;="&amp;A281-13,$A$5:$A$504,"&lt;="&amp;A281-7))</f>
        <v/>
      </c>
      <c r="E281" s="18" t="str">
        <f aca="false">IF(D281="","",IF(AND(D281&gt;=0.2,D281&lt;=0.35),"On target — change nothing",IF(D281&lt;0.2,"Gaining too slowly — add 200 kcal to training days","Gaining too fast — cut 200 kcal from training days")))</f>
        <v/>
      </c>
    </row>
    <row r="282" customFormat="false" ht="15" hidden="false" customHeight="false" outlineLevel="0" collapsed="false">
      <c r="A282" s="19"/>
      <c r="B282" s="20"/>
      <c r="C282" s="16" t="str">
        <f aca="false">IF(B282="","",IFERROR(AVERAGEIFS($B$5:$B$504,$A$5:$A$504,"&gt;="&amp;A282-6,$A$5:$A$504,"&lt;="&amp;A282),""))</f>
        <v/>
      </c>
      <c r="D282" s="17" t="str">
        <f aca="false">IF(OR(C282="",COUNTIFS($A$5:$A$504,"&gt;="&amp;A282-13,$A$5:$A$504,"&lt;="&amp;A282-7)=0),"",C282-AVERAGEIFS($B$5:$B$504,$A$5:$A$504,"&gt;="&amp;A282-13,$A$5:$A$504,"&lt;="&amp;A282-7))</f>
        <v/>
      </c>
      <c r="E282" s="18" t="str">
        <f aca="false">IF(D282="","",IF(AND(D282&gt;=0.2,D282&lt;=0.35),"On target — change nothing",IF(D282&lt;0.2,"Gaining too slowly — add 200 kcal to training days","Gaining too fast — cut 200 kcal from training days")))</f>
        <v/>
      </c>
    </row>
    <row r="283" customFormat="false" ht="15" hidden="false" customHeight="false" outlineLevel="0" collapsed="false">
      <c r="A283" s="19"/>
      <c r="B283" s="20"/>
      <c r="C283" s="16" t="str">
        <f aca="false">IF(B283="","",IFERROR(AVERAGEIFS($B$5:$B$504,$A$5:$A$504,"&gt;="&amp;A283-6,$A$5:$A$504,"&lt;="&amp;A283),""))</f>
        <v/>
      </c>
      <c r="D283" s="17" t="str">
        <f aca="false">IF(OR(C283="",COUNTIFS($A$5:$A$504,"&gt;="&amp;A283-13,$A$5:$A$504,"&lt;="&amp;A283-7)=0),"",C283-AVERAGEIFS($B$5:$B$504,$A$5:$A$504,"&gt;="&amp;A283-13,$A$5:$A$504,"&lt;="&amp;A283-7))</f>
        <v/>
      </c>
      <c r="E283" s="18" t="str">
        <f aca="false">IF(D283="","",IF(AND(D283&gt;=0.2,D283&lt;=0.35),"On target — change nothing",IF(D283&lt;0.2,"Gaining too slowly — add 200 kcal to training days","Gaining too fast — cut 200 kcal from training days")))</f>
        <v/>
      </c>
    </row>
    <row r="284" customFormat="false" ht="15" hidden="false" customHeight="false" outlineLevel="0" collapsed="false">
      <c r="A284" s="19"/>
      <c r="B284" s="20"/>
      <c r="C284" s="16" t="str">
        <f aca="false">IF(B284="","",IFERROR(AVERAGEIFS($B$5:$B$504,$A$5:$A$504,"&gt;="&amp;A284-6,$A$5:$A$504,"&lt;="&amp;A284),""))</f>
        <v/>
      </c>
      <c r="D284" s="17" t="str">
        <f aca="false">IF(OR(C284="",COUNTIFS($A$5:$A$504,"&gt;="&amp;A284-13,$A$5:$A$504,"&lt;="&amp;A284-7)=0),"",C284-AVERAGEIFS($B$5:$B$504,$A$5:$A$504,"&gt;="&amp;A284-13,$A$5:$A$504,"&lt;="&amp;A284-7))</f>
        <v/>
      </c>
      <c r="E284" s="18" t="str">
        <f aca="false">IF(D284="","",IF(AND(D284&gt;=0.2,D284&lt;=0.35),"On target — change nothing",IF(D284&lt;0.2,"Gaining too slowly — add 200 kcal to training days","Gaining too fast — cut 200 kcal from training days")))</f>
        <v/>
      </c>
    </row>
    <row r="285" customFormat="false" ht="15" hidden="false" customHeight="false" outlineLevel="0" collapsed="false">
      <c r="A285" s="19"/>
      <c r="B285" s="20"/>
      <c r="C285" s="16" t="str">
        <f aca="false">IF(B285="","",IFERROR(AVERAGEIFS($B$5:$B$504,$A$5:$A$504,"&gt;="&amp;A285-6,$A$5:$A$504,"&lt;="&amp;A285),""))</f>
        <v/>
      </c>
      <c r="D285" s="17" t="str">
        <f aca="false">IF(OR(C285="",COUNTIFS($A$5:$A$504,"&gt;="&amp;A285-13,$A$5:$A$504,"&lt;="&amp;A285-7)=0),"",C285-AVERAGEIFS($B$5:$B$504,$A$5:$A$504,"&gt;="&amp;A285-13,$A$5:$A$504,"&lt;="&amp;A285-7))</f>
        <v/>
      </c>
      <c r="E285" s="18" t="str">
        <f aca="false">IF(D285="","",IF(AND(D285&gt;=0.2,D285&lt;=0.35),"On target — change nothing",IF(D285&lt;0.2,"Gaining too slowly — add 200 kcal to training days","Gaining too fast — cut 200 kcal from training days")))</f>
        <v/>
      </c>
    </row>
    <row r="286" customFormat="false" ht="15" hidden="false" customHeight="false" outlineLevel="0" collapsed="false">
      <c r="A286" s="19"/>
      <c r="B286" s="20"/>
      <c r="C286" s="16" t="str">
        <f aca="false">IF(B286="","",IFERROR(AVERAGEIFS($B$5:$B$504,$A$5:$A$504,"&gt;="&amp;A286-6,$A$5:$A$504,"&lt;="&amp;A286),""))</f>
        <v/>
      </c>
      <c r="D286" s="17" t="str">
        <f aca="false">IF(OR(C286="",COUNTIFS($A$5:$A$504,"&gt;="&amp;A286-13,$A$5:$A$504,"&lt;="&amp;A286-7)=0),"",C286-AVERAGEIFS($B$5:$B$504,$A$5:$A$504,"&gt;="&amp;A286-13,$A$5:$A$504,"&lt;="&amp;A286-7))</f>
        <v/>
      </c>
      <c r="E286" s="18" t="str">
        <f aca="false">IF(D286="","",IF(AND(D286&gt;=0.2,D286&lt;=0.35),"On target — change nothing",IF(D286&lt;0.2,"Gaining too slowly — add 200 kcal to training days","Gaining too fast — cut 200 kcal from training days")))</f>
        <v/>
      </c>
    </row>
    <row r="287" customFormat="false" ht="15" hidden="false" customHeight="false" outlineLevel="0" collapsed="false">
      <c r="A287" s="19"/>
      <c r="B287" s="20"/>
      <c r="C287" s="16" t="str">
        <f aca="false">IF(B287="","",IFERROR(AVERAGEIFS($B$5:$B$504,$A$5:$A$504,"&gt;="&amp;A287-6,$A$5:$A$504,"&lt;="&amp;A287),""))</f>
        <v/>
      </c>
      <c r="D287" s="17" t="str">
        <f aca="false">IF(OR(C287="",COUNTIFS($A$5:$A$504,"&gt;="&amp;A287-13,$A$5:$A$504,"&lt;="&amp;A287-7)=0),"",C287-AVERAGEIFS($B$5:$B$504,$A$5:$A$504,"&gt;="&amp;A287-13,$A$5:$A$504,"&lt;="&amp;A287-7))</f>
        <v/>
      </c>
      <c r="E287" s="18" t="str">
        <f aca="false">IF(D287="","",IF(AND(D287&gt;=0.2,D287&lt;=0.35),"On target — change nothing",IF(D287&lt;0.2,"Gaining too slowly — add 200 kcal to training days","Gaining too fast — cut 200 kcal from training days")))</f>
        <v/>
      </c>
    </row>
    <row r="288" customFormat="false" ht="15" hidden="false" customHeight="false" outlineLevel="0" collapsed="false">
      <c r="A288" s="19"/>
      <c r="B288" s="20"/>
      <c r="C288" s="16" t="str">
        <f aca="false">IF(B288="","",IFERROR(AVERAGEIFS($B$5:$B$504,$A$5:$A$504,"&gt;="&amp;A288-6,$A$5:$A$504,"&lt;="&amp;A288),""))</f>
        <v/>
      </c>
      <c r="D288" s="17" t="str">
        <f aca="false">IF(OR(C288="",COUNTIFS($A$5:$A$504,"&gt;="&amp;A288-13,$A$5:$A$504,"&lt;="&amp;A288-7)=0),"",C288-AVERAGEIFS($B$5:$B$504,$A$5:$A$504,"&gt;="&amp;A288-13,$A$5:$A$504,"&lt;="&amp;A288-7))</f>
        <v/>
      </c>
      <c r="E288" s="18" t="str">
        <f aca="false">IF(D288="","",IF(AND(D288&gt;=0.2,D288&lt;=0.35),"On target — change nothing",IF(D288&lt;0.2,"Gaining too slowly — add 200 kcal to training days","Gaining too fast — cut 200 kcal from training days")))</f>
        <v/>
      </c>
    </row>
    <row r="289" customFormat="false" ht="15" hidden="false" customHeight="false" outlineLevel="0" collapsed="false">
      <c r="A289" s="19"/>
      <c r="B289" s="20"/>
      <c r="C289" s="16" t="str">
        <f aca="false">IF(B289="","",IFERROR(AVERAGEIFS($B$5:$B$504,$A$5:$A$504,"&gt;="&amp;A289-6,$A$5:$A$504,"&lt;="&amp;A289),""))</f>
        <v/>
      </c>
      <c r="D289" s="17" t="str">
        <f aca="false">IF(OR(C289="",COUNTIFS($A$5:$A$504,"&gt;="&amp;A289-13,$A$5:$A$504,"&lt;="&amp;A289-7)=0),"",C289-AVERAGEIFS($B$5:$B$504,$A$5:$A$504,"&gt;="&amp;A289-13,$A$5:$A$504,"&lt;="&amp;A289-7))</f>
        <v/>
      </c>
      <c r="E289" s="18" t="str">
        <f aca="false">IF(D289="","",IF(AND(D289&gt;=0.2,D289&lt;=0.35),"On target — change nothing",IF(D289&lt;0.2,"Gaining too slowly — add 200 kcal to training days","Gaining too fast — cut 200 kcal from training days")))</f>
        <v/>
      </c>
    </row>
    <row r="290" customFormat="false" ht="15" hidden="false" customHeight="false" outlineLevel="0" collapsed="false">
      <c r="A290" s="19"/>
      <c r="B290" s="20"/>
      <c r="C290" s="16" t="str">
        <f aca="false">IF(B290="","",IFERROR(AVERAGEIFS($B$5:$B$504,$A$5:$A$504,"&gt;="&amp;A290-6,$A$5:$A$504,"&lt;="&amp;A290),""))</f>
        <v/>
      </c>
      <c r="D290" s="17" t="str">
        <f aca="false">IF(OR(C290="",COUNTIFS($A$5:$A$504,"&gt;="&amp;A290-13,$A$5:$A$504,"&lt;="&amp;A290-7)=0),"",C290-AVERAGEIFS($B$5:$B$504,$A$5:$A$504,"&gt;="&amp;A290-13,$A$5:$A$504,"&lt;="&amp;A290-7))</f>
        <v/>
      </c>
      <c r="E290" s="18" t="str">
        <f aca="false">IF(D290="","",IF(AND(D290&gt;=0.2,D290&lt;=0.35),"On target — change nothing",IF(D290&lt;0.2,"Gaining too slowly — add 200 kcal to training days","Gaining too fast — cut 200 kcal from training days")))</f>
        <v/>
      </c>
    </row>
    <row r="291" customFormat="false" ht="15" hidden="false" customHeight="false" outlineLevel="0" collapsed="false">
      <c r="A291" s="19"/>
      <c r="B291" s="20"/>
      <c r="C291" s="16" t="str">
        <f aca="false">IF(B291="","",IFERROR(AVERAGEIFS($B$5:$B$504,$A$5:$A$504,"&gt;="&amp;A291-6,$A$5:$A$504,"&lt;="&amp;A291),""))</f>
        <v/>
      </c>
      <c r="D291" s="17" t="str">
        <f aca="false">IF(OR(C291="",COUNTIFS($A$5:$A$504,"&gt;="&amp;A291-13,$A$5:$A$504,"&lt;="&amp;A291-7)=0),"",C291-AVERAGEIFS($B$5:$B$504,$A$5:$A$504,"&gt;="&amp;A291-13,$A$5:$A$504,"&lt;="&amp;A291-7))</f>
        <v/>
      </c>
      <c r="E291" s="18" t="str">
        <f aca="false">IF(D291="","",IF(AND(D291&gt;=0.2,D291&lt;=0.35),"On target — change nothing",IF(D291&lt;0.2,"Gaining too slowly — add 200 kcal to training days","Gaining too fast — cut 200 kcal from training days")))</f>
        <v/>
      </c>
    </row>
    <row r="292" customFormat="false" ht="15" hidden="false" customHeight="false" outlineLevel="0" collapsed="false">
      <c r="A292" s="19"/>
      <c r="B292" s="20"/>
      <c r="C292" s="16" t="str">
        <f aca="false">IF(B292="","",IFERROR(AVERAGEIFS($B$5:$B$504,$A$5:$A$504,"&gt;="&amp;A292-6,$A$5:$A$504,"&lt;="&amp;A292),""))</f>
        <v/>
      </c>
      <c r="D292" s="17" t="str">
        <f aca="false">IF(OR(C292="",COUNTIFS($A$5:$A$504,"&gt;="&amp;A292-13,$A$5:$A$504,"&lt;="&amp;A292-7)=0),"",C292-AVERAGEIFS($B$5:$B$504,$A$5:$A$504,"&gt;="&amp;A292-13,$A$5:$A$504,"&lt;="&amp;A292-7))</f>
        <v/>
      </c>
      <c r="E292" s="18" t="str">
        <f aca="false">IF(D292="","",IF(AND(D292&gt;=0.2,D292&lt;=0.35),"On target — change nothing",IF(D292&lt;0.2,"Gaining too slowly — add 200 kcal to training days","Gaining too fast — cut 200 kcal from training days")))</f>
        <v/>
      </c>
    </row>
    <row r="293" customFormat="false" ht="15" hidden="false" customHeight="false" outlineLevel="0" collapsed="false">
      <c r="A293" s="19"/>
      <c r="B293" s="20"/>
      <c r="C293" s="16" t="str">
        <f aca="false">IF(B293="","",IFERROR(AVERAGEIFS($B$5:$B$504,$A$5:$A$504,"&gt;="&amp;A293-6,$A$5:$A$504,"&lt;="&amp;A293),""))</f>
        <v/>
      </c>
      <c r="D293" s="17" t="str">
        <f aca="false">IF(OR(C293="",COUNTIFS($A$5:$A$504,"&gt;="&amp;A293-13,$A$5:$A$504,"&lt;="&amp;A293-7)=0),"",C293-AVERAGEIFS($B$5:$B$504,$A$5:$A$504,"&gt;="&amp;A293-13,$A$5:$A$504,"&lt;="&amp;A293-7))</f>
        <v/>
      </c>
      <c r="E293" s="18" t="str">
        <f aca="false">IF(D293="","",IF(AND(D293&gt;=0.2,D293&lt;=0.35),"On target — change nothing",IF(D293&lt;0.2,"Gaining too slowly — add 200 kcal to training days","Gaining too fast — cut 200 kcal from training days")))</f>
        <v/>
      </c>
    </row>
    <row r="294" customFormat="false" ht="15" hidden="false" customHeight="false" outlineLevel="0" collapsed="false">
      <c r="A294" s="19"/>
      <c r="B294" s="20"/>
      <c r="C294" s="16" t="str">
        <f aca="false">IF(B294="","",IFERROR(AVERAGEIFS($B$5:$B$504,$A$5:$A$504,"&gt;="&amp;A294-6,$A$5:$A$504,"&lt;="&amp;A294),""))</f>
        <v/>
      </c>
      <c r="D294" s="17" t="str">
        <f aca="false">IF(OR(C294="",COUNTIFS($A$5:$A$504,"&gt;="&amp;A294-13,$A$5:$A$504,"&lt;="&amp;A294-7)=0),"",C294-AVERAGEIFS($B$5:$B$504,$A$5:$A$504,"&gt;="&amp;A294-13,$A$5:$A$504,"&lt;="&amp;A294-7))</f>
        <v/>
      </c>
      <c r="E294" s="18" t="str">
        <f aca="false">IF(D294="","",IF(AND(D294&gt;=0.2,D294&lt;=0.35),"On target — change nothing",IF(D294&lt;0.2,"Gaining too slowly — add 200 kcal to training days","Gaining too fast — cut 200 kcal from training days")))</f>
        <v/>
      </c>
    </row>
    <row r="295" customFormat="false" ht="15" hidden="false" customHeight="false" outlineLevel="0" collapsed="false">
      <c r="A295" s="19"/>
      <c r="B295" s="20"/>
      <c r="C295" s="16" t="str">
        <f aca="false">IF(B295="","",IFERROR(AVERAGEIFS($B$5:$B$504,$A$5:$A$504,"&gt;="&amp;A295-6,$A$5:$A$504,"&lt;="&amp;A295),""))</f>
        <v/>
      </c>
      <c r="D295" s="17" t="str">
        <f aca="false">IF(OR(C295="",COUNTIFS($A$5:$A$504,"&gt;="&amp;A295-13,$A$5:$A$504,"&lt;="&amp;A295-7)=0),"",C295-AVERAGEIFS($B$5:$B$504,$A$5:$A$504,"&gt;="&amp;A295-13,$A$5:$A$504,"&lt;="&amp;A295-7))</f>
        <v/>
      </c>
      <c r="E295" s="18" t="str">
        <f aca="false">IF(D295="","",IF(AND(D295&gt;=0.2,D295&lt;=0.35),"On target — change nothing",IF(D295&lt;0.2,"Gaining too slowly — add 200 kcal to training days","Gaining too fast — cut 200 kcal from training days")))</f>
        <v/>
      </c>
    </row>
    <row r="296" customFormat="false" ht="15" hidden="false" customHeight="false" outlineLevel="0" collapsed="false">
      <c r="A296" s="19"/>
      <c r="B296" s="20"/>
      <c r="C296" s="16" t="str">
        <f aca="false">IF(B296="","",IFERROR(AVERAGEIFS($B$5:$B$504,$A$5:$A$504,"&gt;="&amp;A296-6,$A$5:$A$504,"&lt;="&amp;A296),""))</f>
        <v/>
      </c>
      <c r="D296" s="17" t="str">
        <f aca="false">IF(OR(C296="",COUNTIFS($A$5:$A$504,"&gt;="&amp;A296-13,$A$5:$A$504,"&lt;="&amp;A296-7)=0),"",C296-AVERAGEIFS($B$5:$B$504,$A$5:$A$504,"&gt;="&amp;A296-13,$A$5:$A$504,"&lt;="&amp;A296-7))</f>
        <v/>
      </c>
      <c r="E296" s="18" t="str">
        <f aca="false">IF(D296="","",IF(AND(D296&gt;=0.2,D296&lt;=0.35),"On target — change nothing",IF(D296&lt;0.2,"Gaining too slowly — add 200 kcal to training days","Gaining too fast — cut 200 kcal from training days")))</f>
        <v/>
      </c>
    </row>
    <row r="297" customFormat="false" ht="15" hidden="false" customHeight="false" outlineLevel="0" collapsed="false">
      <c r="A297" s="19"/>
      <c r="B297" s="20"/>
      <c r="C297" s="16" t="str">
        <f aca="false">IF(B297="","",IFERROR(AVERAGEIFS($B$5:$B$504,$A$5:$A$504,"&gt;="&amp;A297-6,$A$5:$A$504,"&lt;="&amp;A297),""))</f>
        <v/>
      </c>
      <c r="D297" s="17" t="str">
        <f aca="false">IF(OR(C297="",COUNTIFS($A$5:$A$504,"&gt;="&amp;A297-13,$A$5:$A$504,"&lt;="&amp;A297-7)=0),"",C297-AVERAGEIFS($B$5:$B$504,$A$5:$A$504,"&gt;="&amp;A297-13,$A$5:$A$504,"&lt;="&amp;A297-7))</f>
        <v/>
      </c>
      <c r="E297" s="18" t="str">
        <f aca="false">IF(D297="","",IF(AND(D297&gt;=0.2,D297&lt;=0.35),"On target — change nothing",IF(D297&lt;0.2,"Gaining too slowly — add 200 kcal to training days","Gaining too fast — cut 200 kcal from training days")))</f>
        <v/>
      </c>
    </row>
    <row r="298" customFormat="false" ht="15" hidden="false" customHeight="false" outlineLevel="0" collapsed="false">
      <c r="A298" s="19"/>
      <c r="B298" s="20"/>
      <c r="C298" s="16" t="str">
        <f aca="false">IF(B298="","",IFERROR(AVERAGEIFS($B$5:$B$504,$A$5:$A$504,"&gt;="&amp;A298-6,$A$5:$A$504,"&lt;="&amp;A298),""))</f>
        <v/>
      </c>
      <c r="D298" s="17" t="str">
        <f aca="false">IF(OR(C298="",COUNTIFS($A$5:$A$504,"&gt;="&amp;A298-13,$A$5:$A$504,"&lt;="&amp;A298-7)=0),"",C298-AVERAGEIFS($B$5:$B$504,$A$5:$A$504,"&gt;="&amp;A298-13,$A$5:$A$504,"&lt;="&amp;A298-7))</f>
        <v/>
      </c>
      <c r="E298" s="18" t="str">
        <f aca="false">IF(D298="","",IF(AND(D298&gt;=0.2,D298&lt;=0.35),"On target — change nothing",IF(D298&lt;0.2,"Gaining too slowly — add 200 kcal to training days","Gaining too fast — cut 200 kcal from training days")))</f>
        <v/>
      </c>
    </row>
    <row r="299" customFormat="false" ht="15" hidden="false" customHeight="false" outlineLevel="0" collapsed="false">
      <c r="A299" s="19"/>
      <c r="B299" s="20"/>
      <c r="C299" s="16" t="str">
        <f aca="false">IF(B299="","",IFERROR(AVERAGEIFS($B$5:$B$504,$A$5:$A$504,"&gt;="&amp;A299-6,$A$5:$A$504,"&lt;="&amp;A299),""))</f>
        <v/>
      </c>
      <c r="D299" s="17" t="str">
        <f aca="false">IF(OR(C299="",COUNTIFS($A$5:$A$504,"&gt;="&amp;A299-13,$A$5:$A$504,"&lt;="&amp;A299-7)=0),"",C299-AVERAGEIFS($B$5:$B$504,$A$5:$A$504,"&gt;="&amp;A299-13,$A$5:$A$504,"&lt;="&amp;A299-7))</f>
        <v/>
      </c>
      <c r="E299" s="18" t="str">
        <f aca="false">IF(D299="","",IF(AND(D299&gt;=0.2,D299&lt;=0.35),"On target — change nothing",IF(D299&lt;0.2,"Gaining too slowly — add 200 kcal to training days","Gaining too fast — cut 200 kcal from training days")))</f>
        <v/>
      </c>
    </row>
    <row r="300" customFormat="false" ht="15" hidden="false" customHeight="false" outlineLevel="0" collapsed="false">
      <c r="A300" s="19"/>
      <c r="B300" s="20"/>
      <c r="C300" s="16" t="str">
        <f aca="false">IF(B300="","",IFERROR(AVERAGEIFS($B$5:$B$504,$A$5:$A$504,"&gt;="&amp;A300-6,$A$5:$A$504,"&lt;="&amp;A300),""))</f>
        <v/>
      </c>
      <c r="D300" s="17" t="str">
        <f aca="false">IF(OR(C300="",COUNTIFS($A$5:$A$504,"&gt;="&amp;A300-13,$A$5:$A$504,"&lt;="&amp;A300-7)=0),"",C300-AVERAGEIFS($B$5:$B$504,$A$5:$A$504,"&gt;="&amp;A300-13,$A$5:$A$504,"&lt;="&amp;A300-7))</f>
        <v/>
      </c>
      <c r="E300" s="18" t="str">
        <f aca="false">IF(D300="","",IF(AND(D300&gt;=0.2,D300&lt;=0.35),"On target — change nothing",IF(D300&lt;0.2,"Gaining too slowly — add 200 kcal to training days","Gaining too fast — cut 200 kcal from training days")))</f>
        <v/>
      </c>
    </row>
    <row r="301" customFormat="false" ht="15" hidden="false" customHeight="false" outlineLevel="0" collapsed="false">
      <c r="A301" s="19"/>
      <c r="B301" s="20"/>
      <c r="C301" s="16" t="str">
        <f aca="false">IF(B301="","",IFERROR(AVERAGEIFS($B$5:$B$504,$A$5:$A$504,"&gt;="&amp;A301-6,$A$5:$A$504,"&lt;="&amp;A301),""))</f>
        <v/>
      </c>
      <c r="D301" s="17" t="str">
        <f aca="false">IF(OR(C301="",COUNTIFS($A$5:$A$504,"&gt;="&amp;A301-13,$A$5:$A$504,"&lt;="&amp;A301-7)=0),"",C301-AVERAGEIFS($B$5:$B$504,$A$5:$A$504,"&gt;="&amp;A301-13,$A$5:$A$504,"&lt;="&amp;A301-7))</f>
        <v/>
      </c>
      <c r="E301" s="18" t="str">
        <f aca="false">IF(D301="","",IF(AND(D301&gt;=0.2,D301&lt;=0.35),"On target — change nothing",IF(D301&lt;0.2,"Gaining too slowly — add 200 kcal to training days","Gaining too fast — cut 200 kcal from training days")))</f>
        <v/>
      </c>
    </row>
    <row r="302" customFormat="false" ht="15" hidden="false" customHeight="false" outlineLevel="0" collapsed="false">
      <c r="A302" s="19"/>
      <c r="B302" s="20"/>
      <c r="C302" s="16" t="str">
        <f aca="false">IF(B302="","",IFERROR(AVERAGEIFS($B$5:$B$504,$A$5:$A$504,"&gt;="&amp;A302-6,$A$5:$A$504,"&lt;="&amp;A302),""))</f>
        <v/>
      </c>
      <c r="D302" s="17" t="str">
        <f aca="false">IF(OR(C302="",COUNTIFS($A$5:$A$504,"&gt;="&amp;A302-13,$A$5:$A$504,"&lt;="&amp;A302-7)=0),"",C302-AVERAGEIFS($B$5:$B$504,$A$5:$A$504,"&gt;="&amp;A302-13,$A$5:$A$504,"&lt;="&amp;A302-7))</f>
        <v/>
      </c>
      <c r="E302" s="18" t="str">
        <f aca="false">IF(D302="","",IF(AND(D302&gt;=0.2,D302&lt;=0.35),"On target — change nothing",IF(D302&lt;0.2,"Gaining too slowly — add 200 kcal to training days","Gaining too fast — cut 200 kcal from training days")))</f>
        <v/>
      </c>
    </row>
    <row r="303" customFormat="false" ht="15" hidden="false" customHeight="false" outlineLevel="0" collapsed="false">
      <c r="A303" s="19"/>
      <c r="B303" s="20"/>
      <c r="C303" s="16" t="str">
        <f aca="false">IF(B303="","",IFERROR(AVERAGEIFS($B$5:$B$504,$A$5:$A$504,"&gt;="&amp;A303-6,$A$5:$A$504,"&lt;="&amp;A303),""))</f>
        <v/>
      </c>
      <c r="D303" s="17" t="str">
        <f aca="false">IF(OR(C303="",COUNTIFS($A$5:$A$504,"&gt;="&amp;A303-13,$A$5:$A$504,"&lt;="&amp;A303-7)=0),"",C303-AVERAGEIFS($B$5:$B$504,$A$5:$A$504,"&gt;="&amp;A303-13,$A$5:$A$504,"&lt;="&amp;A303-7))</f>
        <v/>
      </c>
      <c r="E303" s="18" t="str">
        <f aca="false">IF(D303="","",IF(AND(D303&gt;=0.2,D303&lt;=0.35),"On target — change nothing",IF(D303&lt;0.2,"Gaining too slowly — add 200 kcal to training days","Gaining too fast — cut 200 kcal from training days")))</f>
        <v/>
      </c>
    </row>
    <row r="304" customFormat="false" ht="15" hidden="false" customHeight="false" outlineLevel="0" collapsed="false">
      <c r="A304" s="19"/>
      <c r="B304" s="20"/>
      <c r="C304" s="16" t="str">
        <f aca="false">IF(B304="","",IFERROR(AVERAGEIFS($B$5:$B$504,$A$5:$A$504,"&gt;="&amp;A304-6,$A$5:$A$504,"&lt;="&amp;A304),""))</f>
        <v/>
      </c>
      <c r="D304" s="17" t="str">
        <f aca="false">IF(OR(C304="",COUNTIFS($A$5:$A$504,"&gt;="&amp;A304-13,$A$5:$A$504,"&lt;="&amp;A304-7)=0),"",C304-AVERAGEIFS($B$5:$B$504,$A$5:$A$504,"&gt;="&amp;A304-13,$A$5:$A$504,"&lt;="&amp;A304-7))</f>
        <v/>
      </c>
      <c r="E304" s="18" t="str">
        <f aca="false">IF(D304="","",IF(AND(D304&gt;=0.2,D304&lt;=0.35),"On target — change nothing",IF(D304&lt;0.2,"Gaining too slowly — add 200 kcal to training days","Gaining too fast — cut 200 kcal from training days")))</f>
        <v/>
      </c>
    </row>
    <row r="305" customFormat="false" ht="15" hidden="false" customHeight="false" outlineLevel="0" collapsed="false">
      <c r="A305" s="19"/>
      <c r="B305" s="20"/>
      <c r="C305" s="16" t="str">
        <f aca="false">IF(B305="","",IFERROR(AVERAGEIFS($B$5:$B$504,$A$5:$A$504,"&gt;="&amp;A305-6,$A$5:$A$504,"&lt;="&amp;A305),""))</f>
        <v/>
      </c>
      <c r="D305" s="17" t="str">
        <f aca="false">IF(OR(C305="",COUNTIFS($A$5:$A$504,"&gt;="&amp;A305-13,$A$5:$A$504,"&lt;="&amp;A305-7)=0),"",C305-AVERAGEIFS($B$5:$B$504,$A$5:$A$504,"&gt;="&amp;A305-13,$A$5:$A$504,"&lt;="&amp;A305-7))</f>
        <v/>
      </c>
      <c r="E305" s="18" t="str">
        <f aca="false">IF(D305="","",IF(AND(D305&gt;=0.2,D305&lt;=0.35),"On target — change nothing",IF(D305&lt;0.2,"Gaining too slowly — add 200 kcal to training days","Gaining too fast — cut 200 kcal from training days")))</f>
        <v/>
      </c>
    </row>
    <row r="306" customFormat="false" ht="15" hidden="false" customHeight="false" outlineLevel="0" collapsed="false">
      <c r="A306" s="19"/>
      <c r="B306" s="20"/>
      <c r="C306" s="16" t="str">
        <f aca="false">IF(B306="","",IFERROR(AVERAGEIFS($B$5:$B$504,$A$5:$A$504,"&gt;="&amp;A306-6,$A$5:$A$504,"&lt;="&amp;A306),""))</f>
        <v/>
      </c>
      <c r="D306" s="17" t="str">
        <f aca="false">IF(OR(C306="",COUNTIFS($A$5:$A$504,"&gt;="&amp;A306-13,$A$5:$A$504,"&lt;="&amp;A306-7)=0),"",C306-AVERAGEIFS($B$5:$B$504,$A$5:$A$504,"&gt;="&amp;A306-13,$A$5:$A$504,"&lt;="&amp;A306-7))</f>
        <v/>
      </c>
      <c r="E306" s="18" t="str">
        <f aca="false">IF(D306="","",IF(AND(D306&gt;=0.2,D306&lt;=0.35),"On target — change nothing",IF(D306&lt;0.2,"Gaining too slowly — add 200 kcal to training days","Gaining too fast — cut 200 kcal from training days")))</f>
        <v/>
      </c>
    </row>
    <row r="307" customFormat="false" ht="15" hidden="false" customHeight="false" outlineLevel="0" collapsed="false">
      <c r="A307" s="19"/>
      <c r="B307" s="20"/>
      <c r="C307" s="16" t="str">
        <f aca="false">IF(B307="","",IFERROR(AVERAGEIFS($B$5:$B$504,$A$5:$A$504,"&gt;="&amp;A307-6,$A$5:$A$504,"&lt;="&amp;A307),""))</f>
        <v/>
      </c>
      <c r="D307" s="17" t="str">
        <f aca="false">IF(OR(C307="",COUNTIFS($A$5:$A$504,"&gt;="&amp;A307-13,$A$5:$A$504,"&lt;="&amp;A307-7)=0),"",C307-AVERAGEIFS($B$5:$B$504,$A$5:$A$504,"&gt;="&amp;A307-13,$A$5:$A$504,"&lt;="&amp;A307-7))</f>
        <v/>
      </c>
      <c r="E307" s="18" t="str">
        <f aca="false">IF(D307="","",IF(AND(D307&gt;=0.2,D307&lt;=0.35),"On target — change nothing",IF(D307&lt;0.2,"Gaining too slowly — add 200 kcal to training days","Gaining too fast — cut 200 kcal from training days")))</f>
        <v/>
      </c>
    </row>
    <row r="308" customFormat="false" ht="15" hidden="false" customHeight="false" outlineLevel="0" collapsed="false">
      <c r="A308" s="19"/>
      <c r="B308" s="20"/>
      <c r="C308" s="16" t="str">
        <f aca="false">IF(B308="","",IFERROR(AVERAGEIFS($B$5:$B$504,$A$5:$A$504,"&gt;="&amp;A308-6,$A$5:$A$504,"&lt;="&amp;A308),""))</f>
        <v/>
      </c>
      <c r="D308" s="17" t="str">
        <f aca="false">IF(OR(C308="",COUNTIFS($A$5:$A$504,"&gt;="&amp;A308-13,$A$5:$A$504,"&lt;="&amp;A308-7)=0),"",C308-AVERAGEIFS($B$5:$B$504,$A$5:$A$504,"&gt;="&amp;A308-13,$A$5:$A$504,"&lt;="&amp;A308-7))</f>
        <v/>
      </c>
      <c r="E308" s="18" t="str">
        <f aca="false">IF(D308="","",IF(AND(D308&gt;=0.2,D308&lt;=0.35),"On target — change nothing",IF(D308&lt;0.2,"Gaining too slowly — add 200 kcal to training days","Gaining too fast — cut 200 kcal from training days")))</f>
        <v/>
      </c>
    </row>
    <row r="309" customFormat="false" ht="15" hidden="false" customHeight="false" outlineLevel="0" collapsed="false">
      <c r="A309" s="19"/>
      <c r="B309" s="20"/>
      <c r="C309" s="16" t="str">
        <f aca="false">IF(B309="","",IFERROR(AVERAGEIFS($B$5:$B$504,$A$5:$A$504,"&gt;="&amp;A309-6,$A$5:$A$504,"&lt;="&amp;A309),""))</f>
        <v/>
      </c>
      <c r="D309" s="17" t="str">
        <f aca="false">IF(OR(C309="",COUNTIFS($A$5:$A$504,"&gt;="&amp;A309-13,$A$5:$A$504,"&lt;="&amp;A309-7)=0),"",C309-AVERAGEIFS($B$5:$B$504,$A$5:$A$504,"&gt;="&amp;A309-13,$A$5:$A$504,"&lt;="&amp;A309-7))</f>
        <v/>
      </c>
      <c r="E309" s="18" t="str">
        <f aca="false">IF(D309="","",IF(AND(D309&gt;=0.2,D309&lt;=0.35),"On target — change nothing",IF(D309&lt;0.2,"Gaining too slowly — add 200 kcal to training days","Gaining too fast — cut 200 kcal from training days")))</f>
        <v/>
      </c>
    </row>
    <row r="310" customFormat="false" ht="15" hidden="false" customHeight="false" outlineLevel="0" collapsed="false">
      <c r="A310" s="19"/>
      <c r="B310" s="20"/>
      <c r="C310" s="16" t="str">
        <f aca="false">IF(B310="","",IFERROR(AVERAGEIFS($B$5:$B$504,$A$5:$A$504,"&gt;="&amp;A310-6,$A$5:$A$504,"&lt;="&amp;A310),""))</f>
        <v/>
      </c>
      <c r="D310" s="17" t="str">
        <f aca="false">IF(OR(C310="",COUNTIFS($A$5:$A$504,"&gt;="&amp;A310-13,$A$5:$A$504,"&lt;="&amp;A310-7)=0),"",C310-AVERAGEIFS($B$5:$B$504,$A$5:$A$504,"&gt;="&amp;A310-13,$A$5:$A$504,"&lt;="&amp;A310-7))</f>
        <v/>
      </c>
      <c r="E310" s="18" t="str">
        <f aca="false">IF(D310="","",IF(AND(D310&gt;=0.2,D310&lt;=0.35),"On target — change nothing",IF(D310&lt;0.2,"Gaining too slowly — add 200 kcal to training days","Gaining too fast — cut 200 kcal from training days")))</f>
        <v/>
      </c>
    </row>
    <row r="311" customFormat="false" ht="15" hidden="false" customHeight="false" outlineLevel="0" collapsed="false">
      <c r="A311" s="19"/>
      <c r="B311" s="20"/>
      <c r="C311" s="16" t="str">
        <f aca="false">IF(B311="","",IFERROR(AVERAGEIFS($B$5:$B$504,$A$5:$A$504,"&gt;="&amp;A311-6,$A$5:$A$504,"&lt;="&amp;A311),""))</f>
        <v/>
      </c>
      <c r="D311" s="17" t="str">
        <f aca="false">IF(OR(C311="",COUNTIFS($A$5:$A$504,"&gt;="&amp;A311-13,$A$5:$A$504,"&lt;="&amp;A311-7)=0),"",C311-AVERAGEIFS($B$5:$B$504,$A$5:$A$504,"&gt;="&amp;A311-13,$A$5:$A$504,"&lt;="&amp;A311-7))</f>
        <v/>
      </c>
      <c r="E311" s="18" t="str">
        <f aca="false">IF(D311="","",IF(AND(D311&gt;=0.2,D311&lt;=0.35),"On target — change nothing",IF(D311&lt;0.2,"Gaining too slowly — add 200 kcal to training days","Gaining too fast — cut 200 kcal from training days")))</f>
        <v/>
      </c>
    </row>
    <row r="312" customFormat="false" ht="15" hidden="false" customHeight="false" outlineLevel="0" collapsed="false">
      <c r="A312" s="19"/>
      <c r="B312" s="20"/>
      <c r="C312" s="16" t="str">
        <f aca="false">IF(B312="","",IFERROR(AVERAGEIFS($B$5:$B$504,$A$5:$A$504,"&gt;="&amp;A312-6,$A$5:$A$504,"&lt;="&amp;A312),""))</f>
        <v/>
      </c>
      <c r="D312" s="17" t="str">
        <f aca="false">IF(OR(C312="",COUNTIFS($A$5:$A$504,"&gt;="&amp;A312-13,$A$5:$A$504,"&lt;="&amp;A312-7)=0),"",C312-AVERAGEIFS($B$5:$B$504,$A$5:$A$504,"&gt;="&amp;A312-13,$A$5:$A$504,"&lt;="&amp;A312-7))</f>
        <v/>
      </c>
      <c r="E312" s="18" t="str">
        <f aca="false">IF(D312="","",IF(AND(D312&gt;=0.2,D312&lt;=0.35),"On target — change nothing",IF(D312&lt;0.2,"Gaining too slowly — add 200 kcal to training days","Gaining too fast — cut 200 kcal from training days")))</f>
        <v/>
      </c>
    </row>
    <row r="313" customFormat="false" ht="15" hidden="false" customHeight="false" outlineLevel="0" collapsed="false">
      <c r="A313" s="19"/>
      <c r="B313" s="20"/>
      <c r="C313" s="16" t="str">
        <f aca="false">IF(B313="","",IFERROR(AVERAGEIFS($B$5:$B$504,$A$5:$A$504,"&gt;="&amp;A313-6,$A$5:$A$504,"&lt;="&amp;A313),""))</f>
        <v/>
      </c>
      <c r="D313" s="17" t="str">
        <f aca="false">IF(OR(C313="",COUNTIFS($A$5:$A$504,"&gt;="&amp;A313-13,$A$5:$A$504,"&lt;="&amp;A313-7)=0),"",C313-AVERAGEIFS($B$5:$B$504,$A$5:$A$504,"&gt;="&amp;A313-13,$A$5:$A$504,"&lt;="&amp;A313-7))</f>
        <v/>
      </c>
      <c r="E313" s="18" t="str">
        <f aca="false">IF(D313="","",IF(AND(D313&gt;=0.2,D313&lt;=0.35),"On target — change nothing",IF(D313&lt;0.2,"Gaining too slowly — add 200 kcal to training days","Gaining too fast — cut 200 kcal from training days")))</f>
        <v/>
      </c>
    </row>
    <row r="314" customFormat="false" ht="15" hidden="false" customHeight="false" outlineLevel="0" collapsed="false">
      <c r="A314" s="19"/>
      <c r="B314" s="20"/>
      <c r="C314" s="16" t="str">
        <f aca="false">IF(B314="","",IFERROR(AVERAGEIFS($B$5:$B$504,$A$5:$A$504,"&gt;="&amp;A314-6,$A$5:$A$504,"&lt;="&amp;A314),""))</f>
        <v/>
      </c>
      <c r="D314" s="17" t="str">
        <f aca="false">IF(OR(C314="",COUNTIFS($A$5:$A$504,"&gt;="&amp;A314-13,$A$5:$A$504,"&lt;="&amp;A314-7)=0),"",C314-AVERAGEIFS($B$5:$B$504,$A$5:$A$504,"&gt;="&amp;A314-13,$A$5:$A$504,"&lt;="&amp;A314-7))</f>
        <v/>
      </c>
      <c r="E314" s="18" t="str">
        <f aca="false">IF(D314="","",IF(AND(D314&gt;=0.2,D314&lt;=0.35),"On target — change nothing",IF(D314&lt;0.2,"Gaining too slowly — add 200 kcal to training days","Gaining too fast — cut 200 kcal from training days")))</f>
        <v/>
      </c>
    </row>
    <row r="315" customFormat="false" ht="15" hidden="false" customHeight="false" outlineLevel="0" collapsed="false">
      <c r="A315" s="19"/>
      <c r="B315" s="20"/>
      <c r="C315" s="16" t="str">
        <f aca="false">IF(B315="","",IFERROR(AVERAGEIFS($B$5:$B$504,$A$5:$A$504,"&gt;="&amp;A315-6,$A$5:$A$504,"&lt;="&amp;A315),""))</f>
        <v/>
      </c>
      <c r="D315" s="17" t="str">
        <f aca="false">IF(OR(C315="",COUNTIFS($A$5:$A$504,"&gt;="&amp;A315-13,$A$5:$A$504,"&lt;="&amp;A315-7)=0),"",C315-AVERAGEIFS($B$5:$B$504,$A$5:$A$504,"&gt;="&amp;A315-13,$A$5:$A$504,"&lt;="&amp;A315-7))</f>
        <v/>
      </c>
      <c r="E315" s="18" t="str">
        <f aca="false">IF(D315="","",IF(AND(D315&gt;=0.2,D315&lt;=0.35),"On target — change nothing",IF(D315&lt;0.2,"Gaining too slowly — add 200 kcal to training days","Gaining too fast — cut 200 kcal from training days")))</f>
        <v/>
      </c>
    </row>
    <row r="316" customFormat="false" ht="15" hidden="false" customHeight="false" outlineLevel="0" collapsed="false">
      <c r="A316" s="19"/>
      <c r="B316" s="20"/>
      <c r="C316" s="16" t="str">
        <f aca="false">IF(B316="","",IFERROR(AVERAGEIFS($B$5:$B$504,$A$5:$A$504,"&gt;="&amp;A316-6,$A$5:$A$504,"&lt;="&amp;A316),""))</f>
        <v/>
      </c>
      <c r="D316" s="17" t="str">
        <f aca="false">IF(OR(C316="",COUNTIFS($A$5:$A$504,"&gt;="&amp;A316-13,$A$5:$A$504,"&lt;="&amp;A316-7)=0),"",C316-AVERAGEIFS($B$5:$B$504,$A$5:$A$504,"&gt;="&amp;A316-13,$A$5:$A$504,"&lt;="&amp;A316-7))</f>
        <v/>
      </c>
      <c r="E316" s="18" t="str">
        <f aca="false">IF(D316="","",IF(AND(D316&gt;=0.2,D316&lt;=0.35),"On target — change nothing",IF(D316&lt;0.2,"Gaining too slowly — add 200 kcal to training days","Gaining too fast — cut 200 kcal from training days")))</f>
        <v/>
      </c>
    </row>
    <row r="317" customFormat="false" ht="15" hidden="false" customHeight="false" outlineLevel="0" collapsed="false">
      <c r="A317" s="19"/>
      <c r="B317" s="20"/>
      <c r="C317" s="16" t="str">
        <f aca="false">IF(B317="","",IFERROR(AVERAGEIFS($B$5:$B$504,$A$5:$A$504,"&gt;="&amp;A317-6,$A$5:$A$504,"&lt;="&amp;A317),""))</f>
        <v/>
      </c>
      <c r="D317" s="17" t="str">
        <f aca="false">IF(OR(C317="",COUNTIFS($A$5:$A$504,"&gt;="&amp;A317-13,$A$5:$A$504,"&lt;="&amp;A317-7)=0),"",C317-AVERAGEIFS($B$5:$B$504,$A$5:$A$504,"&gt;="&amp;A317-13,$A$5:$A$504,"&lt;="&amp;A317-7))</f>
        <v/>
      </c>
      <c r="E317" s="18" t="str">
        <f aca="false">IF(D317="","",IF(AND(D317&gt;=0.2,D317&lt;=0.35),"On target — change nothing",IF(D317&lt;0.2,"Gaining too slowly — add 200 kcal to training days","Gaining too fast — cut 200 kcal from training days")))</f>
        <v/>
      </c>
    </row>
    <row r="318" customFormat="false" ht="15" hidden="false" customHeight="false" outlineLevel="0" collapsed="false">
      <c r="A318" s="19"/>
      <c r="B318" s="20"/>
      <c r="C318" s="16" t="str">
        <f aca="false">IF(B318="","",IFERROR(AVERAGEIFS($B$5:$B$504,$A$5:$A$504,"&gt;="&amp;A318-6,$A$5:$A$504,"&lt;="&amp;A318),""))</f>
        <v/>
      </c>
      <c r="D318" s="17" t="str">
        <f aca="false">IF(OR(C318="",COUNTIFS($A$5:$A$504,"&gt;="&amp;A318-13,$A$5:$A$504,"&lt;="&amp;A318-7)=0),"",C318-AVERAGEIFS($B$5:$B$504,$A$5:$A$504,"&gt;="&amp;A318-13,$A$5:$A$504,"&lt;="&amp;A318-7))</f>
        <v/>
      </c>
      <c r="E318" s="18" t="str">
        <f aca="false">IF(D318="","",IF(AND(D318&gt;=0.2,D318&lt;=0.35),"On target — change nothing",IF(D318&lt;0.2,"Gaining too slowly — add 200 kcal to training days","Gaining too fast — cut 200 kcal from training days")))</f>
        <v/>
      </c>
    </row>
    <row r="319" customFormat="false" ht="15" hidden="false" customHeight="false" outlineLevel="0" collapsed="false">
      <c r="A319" s="19"/>
      <c r="B319" s="20"/>
      <c r="C319" s="16" t="str">
        <f aca="false">IF(B319="","",IFERROR(AVERAGEIFS($B$5:$B$504,$A$5:$A$504,"&gt;="&amp;A319-6,$A$5:$A$504,"&lt;="&amp;A319),""))</f>
        <v/>
      </c>
      <c r="D319" s="17" t="str">
        <f aca="false">IF(OR(C319="",COUNTIFS($A$5:$A$504,"&gt;="&amp;A319-13,$A$5:$A$504,"&lt;="&amp;A319-7)=0),"",C319-AVERAGEIFS($B$5:$B$504,$A$5:$A$504,"&gt;="&amp;A319-13,$A$5:$A$504,"&lt;="&amp;A319-7))</f>
        <v/>
      </c>
      <c r="E319" s="18" t="str">
        <f aca="false">IF(D319="","",IF(AND(D319&gt;=0.2,D319&lt;=0.35),"On target — change nothing",IF(D319&lt;0.2,"Gaining too slowly — add 200 kcal to training days","Gaining too fast — cut 200 kcal from training days")))</f>
        <v/>
      </c>
    </row>
    <row r="320" customFormat="false" ht="15" hidden="false" customHeight="false" outlineLevel="0" collapsed="false">
      <c r="A320" s="19"/>
      <c r="B320" s="20"/>
      <c r="C320" s="16" t="str">
        <f aca="false">IF(B320="","",IFERROR(AVERAGEIFS($B$5:$B$504,$A$5:$A$504,"&gt;="&amp;A320-6,$A$5:$A$504,"&lt;="&amp;A320),""))</f>
        <v/>
      </c>
      <c r="D320" s="17" t="str">
        <f aca="false">IF(OR(C320="",COUNTIFS($A$5:$A$504,"&gt;="&amp;A320-13,$A$5:$A$504,"&lt;="&amp;A320-7)=0),"",C320-AVERAGEIFS($B$5:$B$504,$A$5:$A$504,"&gt;="&amp;A320-13,$A$5:$A$504,"&lt;="&amp;A320-7))</f>
        <v/>
      </c>
      <c r="E320" s="18" t="str">
        <f aca="false">IF(D320="","",IF(AND(D320&gt;=0.2,D320&lt;=0.35),"On target — change nothing",IF(D320&lt;0.2,"Gaining too slowly — add 200 kcal to training days","Gaining too fast — cut 200 kcal from training days")))</f>
        <v/>
      </c>
    </row>
    <row r="321" customFormat="false" ht="15" hidden="false" customHeight="false" outlineLevel="0" collapsed="false">
      <c r="A321" s="19"/>
      <c r="B321" s="20"/>
      <c r="C321" s="16" t="str">
        <f aca="false">IF(B321="","",IFERROR(AVERAGEIFS($B$5:$B$504,$A$5:$A$504,"&gt;="&amp;A321-6,$A$5:$A$504,"&lt;="&amp;A321),""))</f>
        <v/>
      </c>
      <c r="D321" s="17" t="str">
        <f aca="false">IF(OR(C321="",COUNTIFS($A$5:$A$504,"&gt;="&amp;A321-13,$A$5:$A$504,"&lt;="&amp;A321-7)=0),"",C321-AVERAGEIFS($B$5:$B$504,$A$5:$A$504,"&gt;="&amp;A321-13,$A$5:$A$504,"&lt;="&amp;A321-7))</f>
        <v/>
      </c>
      <c r="E321" s="18" t="str">
        <f aca="false">IF(D321="","",IF(AND(D321&gt;=0.2,D321&lt;=0.35),"On target — change nothing",IF(D321&lt;0.2,"Gaining too slowly — add 200 kcal to training days","Gaining too fast — cut 200 kcal from training days")))</f>
        <v/>
      </c>
    </row>
    <row r="322" customFormat="false" ht="15" hidden="false" customHeight="false" outlineLevel="0" collapsed="false">
      <c r="A322" s="19"/>
      <c r="B322" s="20"/>
      <c r="C322" s="16" t="str">
        <f aca="false">IF(B322="","",IFERROR(AVERAGEIFS($B$5:$B$504,$A$5:$A$504,"&gt;="&amp;A322-6,$A$5:$A$504,"&lt;="&amp;A322),""))</f>
        <v/>
      </c>
      <c r="D322" s="17" t="str">
        <f aca="false">IF(OR(C322="",COUNTIFS($A$5:$A$504,"&gt;="&amp;A322-13,$A$5:$A$504,"&lt;="&amp;A322-7)=0),"",C322-AVERAGEIFS($B$5:$B$504,$A$5:$A$504,"&gt;="&amp;A322-13,$A$5:$A$504,"&lt;="&amp;A322-7))</f>
        <v/>
      </c>
      <c r="E322" s="18" t="str">
        <f aca="false">IF(D322="","",IF(AND(D322&gt;=0.2,D322&lt;=0.35),"On target — change nothing",IF(D322&lt;0.2,"Gaining too slowly — add 200 kcal to training days","Gaining too fast — cut 200 kcal from training days")))</f>
        <v/>
      </c>
    </row>
    <row r="323" customFormat="false" ht="15" hidden="false" customHeight="false" outlineLevel="0" collapsed="false">
      <c r="A323" s="19"/>
      <c r="B323" s="20"/>
      <c r="C323" s="16" t="str">
        <f aca="false">IF(B323="","",IFERROR(AVERAGEIFS($B$5:$B$504,$A$5:$A$504,"&gt;="&amp;A323-6,$A$5:$A$504,"&lt;="&amp;A323),""))</f>
        <v/>
      </c>
      <c r="D323" s="17" t="str">
        <f aca="false">IF(OR(C323="",COUNTIFS($A$5:$A$504,"&gt;="&amp;A323-13,$A$5:$A$504,"&lt;="&amp;A323-7)=0),"",C323-AVERAGEIFS($B$5:$B$504,$A$5:$A$504,"&gt;="&amp;A323-13,$A$5:$A$504,"&lt;="&amp;A323-7))</f>
        <v/>
      </c>
      <c r="E323" s="18" t="str">
        <f aca="false">IF(D323="","",IF(AND(D323&gt;=0.2,D323&lt;=0.35),"On target — change nothing",IF(D323&lt;0.2,"Gaining too slowly — add 200 kcal to training days","Gaining too fast — cut 200 kcal from training days")))</f>
        <v/>
      </c>
    </row>
    <row r="324" customFormat="false" ht="15" hidden="false" customHeight="false" outlineLevel="0" collapsed="false">
      <c r="A324" s="19"/>
      <c r="B324" s="20"/>
      <c r="C324" s="16" t="str">
        <f aca="false">IF(B324="","",IFERROR(AVERAGEIFS($B$5:$B$504,$A$5:$A$504,"&gt;="&amp;A324-6,$A$5:$A$504,"&lt;="&amp;A324),""))</f>
        <v/>
      </c>
      <c r="D324" s="17" t="str">
        <f aca="false">IF(OR(C324="",COUNTIFS($A$5:$A$504,"&gt;="&amp;A324-13,$A$5:$A$504,"&lt;="&amp;A324-7)=0),"",C324-AVERAGEIFS($B$5:$B$504,$A$5:$A$504,"&gt;="&amp;A324-13,$A$5:$A$504,"&lt;="&amp;A324-7))</f>
        <v/>
      </c>
      <c r="E324" s="18" t="str">
        <f aca="false">IF(D324="","",IF(AND(D324&gt;=0.2,D324&lt;=0.35),"On target — change nothing",IF(D324&lt;0.2,"Gaining too slowly — add 200 kcal to training days","Gaining too fast — cut 200 kcal from training days")))</f>
        <v/>
      </c>
    </row>
    <row r="325" customFormat="false" ht="15" hidden="false" customHeight="false" outlineLevel="0" collapsed="false">
      <c r="A325" s="19"/>
      <c r="B325" s="20"/>
      <c r="C325" s="16" t="str">
        <f aca="false">IF(B325="","",IFERROR(AVERAGEIFS($B$5:$B$504,$A$5:$A$504,"&gt;="&amp;A325-6,$A$5:$A$504,"&lt;="&amp;A325),""))</f>
        <v/>
      </c>
      <c r="D325" s="17" t="str">
        <f aca="false">IF(OR(C325="",COUNTIFS($A$5:$A$504,"&gt;="&amp;A325-13,$A$5:$A$504,"&lt;="&amp;A325-7)=0),"",C325-AVERAGEIFS($B$5:$B$504,$A$5:$A$504,"&gt;="&amp;A325-13,$A$5:$A$504,"&lt;="&amp;A325-7))</f>
        <v/>
      </c>
      <c r="E325" s="18" t="str">
        <f aca="false">IF(D325="","",IF(AND(D325&gt;=0.2,D325&lt;=0.35),"On target — change nothing",IF(D325&lt;0.2,"Gaining too slowly — add 200 kcal to training days","Gaining too fast — cut 200 kcal from training days")))</f>
        <v/>
      </c>
    </row>
    <row r="326" customFormat="false" ht="15" hidden="false" customHeight="false" outlineLevel="0" collapsed="false">
      <c r="A326" s="19"/>
      <c r="B326" s="20"/>
      <c r="C326" s="16" t="str">
        <f aca="false">IF(B326="","",IFERROR(AVERAGEIFS($B$5:$B$504,$A$5:$A$504,"&gt;="&amp;A326-6,$A$5:$A$504,"&lt;="&amp;A326),""))</f>
        <v/>
      </c>
      <c r="D326" s="17" t="str">
        <f aca="false">IF(OR(C326="",COUNTIFS($A$5:$A$504,"&gt;="&amp;A326-13,$A$5:$A$504,"&lt;="&amp;A326-7)=0),"",C326-AVERAGEIFS($B$5:$B$504,$A$5:$A$504,"&gt;="&amp;A326-13,$A$5:$A$504,"&lt;="&amp;A326-7))</f>
        <v/>
      </c>
      <c r="E326" s="18" t="str">
        <f aca="false">IF(D326="","",IF(AND(D326&gt;=0.2,D326&lt;=0.35),"On target — change nothing",IF(D326&lt;0.2,"Gaining too slowly — add 200 kcal to training days","Gaining too fast — cut 200 kcal from training days")))</f>
        <v/>
      </c>
    </row>
    <row r="327" customFormat="false" ht="15" hidden="false" customHeight="false" outlineLevel="0" collapsed="false">
      <c r="A327" s="19"/>
      <c r="B327" s="20"/>
      <c r="C327" s="16" t="str">
        <f aca="false">IF(B327="","",IFERROR(AVERAGEIFS($B$5:$B$504,$A$5:$A$504,"&gt;="&amp;A327-6,$A$5:$A$504,"&lt;="&amp;A327),""))</f>
        <v/>
      </c>
      <c r="D327" s="17" t="str">
        <f aca="false">IF(OR(C327="",COUNTIFS($A$5:$A$504,"&gt;="&amp;A327-13,$A$5:$A$504,"&lt;="&amp;A327-7)=0),"",C327-AVERAGEIFS($B$5:$B$504,$A$5:$A$504,"&gt;="&amp;A327-13,$A$5:$A$504,"&lt;="&amp;A327-7))</f>
        <v/>
      </c>
      <c r="E327" s="18" t="str">
        <f aca="false">IF(D327="","",IF(AND(D327&gt;=0.2,D327&lt;=0.35),"On target — change nothing",IF(D327&lt;0.2,"Gaining too slowly — add 200 kcal to training days","Gaining too fast — cut 200 kcal from training days")))</f>
        <v/>
      </c>
    </row>
    <row r="328" customFormat="false" ht="15" hidden="false" customHeight="false" outlineLevel="0" collapsed="false">
      <c r="A328" s="19"/>
      <c r="B328" s="20"/>
      <c r="C328" s="16" t="str">
        <f aca="false">IF(B328="","",IFERROR(AVERAGEIFS($B$5:$B$504,$A$5:$A$504,"&gt;="&amp;A328-6,$A$5:$A$504,"&lt;="&amp;A328),""))</f>
        <v/>
      </c>
      <c r="D328" s="17" t="str">
        <f aca="false">IF(OR(C328="",COUNTIFS($A$5:$A$504,"&gt;="&amp;A328-13,$A$5:$A$504,"&lt;="&amp;A328-7)=0),"",C328-AVERAGEIFS($B$5:$B$504,$A$5:$A$504,"&gt;="&amp;A328-13,$A$5:$A$504,"&lt;="&amp;A328-7))</f>
        <v/>
      </c>
      <c r="E328" s="18" t="str">
        <f aca="false">IF(D328="","",IF(AND(D328&gt;=0.2,D328&lt;=0.35),"On target — change nothing",IF(D328&lt;0.2,"Gaining too slowly — add 200 kcal to training days","Gaining too fast — cut 200 kcal from training days")))</f>
        <v/>
      </c>
    </row>
    <row r="329" customFormat="false" ht="15" hidden="false" customHeight="false" outlineLevel="0" collapsed="false">
      <c r="A329" s="19"/>
      <c r="B329" s="20"/>
      <c r="C329" s="16" t="str">
        <f aca="false">IF(B329="","",IFERROR(AVERAGEIFS($B$5:$B$504,$A$5:$A$504,"&gt;="&amp;A329-6,$A$5:$A$504,"&lt;="&amp;A329),""))</f>
        <v/>
      </c>
      <c r="D329" s="17" t="str">
        <f aca="false">IF(OR(C329="",COUNTIFS($A$5:$A$504,"&gt;="&amp;A329-13,$A$5:$A$504,"&lt;="&amp;A329-7)=0),"",C329-AVERAGEIFS($B$5:$B$504,$A$5:$A$504,"&gt;="&amp;A329-13,$A$5:$A$504,"&lt;="&amp;A329-7))</f>
        <v/>
      </c>
      <c r="E329" s="18" t="str">
        <f aca="false">IF(D329="","",IF(AND(D329&gt;=0.2,D329&lt;=0.35),"On target — change nothing",IF(D329&lt;0.2,"Gaining too slowly — add 200 kcal to training days","Gaining too fast — cut 200 kcal from training days")))</f>
        <v/>
      </c>
    </row>
    <row r="330" customFormat="false" ht="15" hidden="false" customHeight="false" outlineLevel="0" collapsed="false">
      <c r="A330" s="19"/>
      <c r="B330" s="20"/>
      <c r="C330" s="16" t="str">
        <f aca="false">IF(B330="","",IFERROR(AVERAGEIFS($B$5:$B$504,$A$5:$A$504,"&gt;="&amp;A330-6,$A$5:$A$504,"&lt;="&amp;A330),""))</f>
        <v/>
      </c>
      <c r="D330" s="17" t="str">
        <f aca="false">IF(OR(C330="",COUNTIFS($A$5:$A$504,"&gt;="&amp;A330-13,$A$5:$A$504,"&lt;="&amp;A330-7)=0),"",C330-AVERAGEIFS($B$5:$B$504,$A$5:$A$504,"&gt;="&amp;A330-13,$A$5:$A$504,"&lt;="&amp;A330-7))</f>
        <v/>
      </c>
      <c r="E330" s="18" t="str">
        <f aca="false">IF(D330="","",IF(AND(D330&gt;=0.2,D330&lt;=0.35),"On target — change nothing",IF(D330&lt;0.2,"Gaining too slowly — add 200 kcal to training days","Gaining too fast — cut 200 kcal from training days")))</f>
        <v/>
      </c>
    </row>
    <row r="331" customFormat="false" ht="15" hidden="false" customHeight="false" outlineLevel="0" collapsed="false">
      <c r="A331" s="19"/>
      <c r="B331" s="20"/>
      <c r="C331" s="16" t="str">
        <f aca="false">IF(B331="","",IFERROR(AVERAGEIFS($B$5:$B$504,$A$5:$A$504,"&gt;="&amp;A331-6,$A$5:$A$504,"&lt;="&amp;A331),""))</f>
        <v/>
      </c>
      <c r="D331" s="17" t="str">
        <f aca="false">IF(OR(C331="",COUNTIFS($A$5:$A$504,"&gt;="&amp;A331-13,$A$5:$A$504,"&lt;="&amp;A331-7)=0),"",C331-AVERAGEIFS($B$5:$B$504,$A$5:$A$504,"&gt;="&amp;A331-13,$A$5:$A$504,"&lt;="&amp;A331-7))</f>
        <v/>
      </c>
      <c r="E331" s="18" t="str">
        <f aca="false">IF(D331="","",IF(AND(D331&gt;=0.2,D331&lt;=0.35),"On target — change nothing",IF(D331&lt;0.2,"Gaining too slowly — add 200 kcal to training days","Gaining too fast — cut 200 kcal from training days")))</f>
        <v/>
      </c>
    </row>
    <row r="332" customFormat="false" ht="15" hidden="false" customHeight="false" outlineLevel="0" collapsed="false">
      <c r="A332" s="19"/>
      <c r="B332" s="20"/>
      <c r="C332" s="16" t="str">
        <f aca="false">IF(B332="","",IFERROR(AVERAGEIFS($B$5:$B$504,$A$5:$A$504,"&gt;="&amp;A332-6,$A$5:$A$504,"&lt;="&amp;A332),""))</f>
        <v/>
      </c>
      <c r="D332" s="17" t="str">
        <f aca="false">IF(OR(C332="",COUNTIFS($A$5:$A$504,"&gt;="&amp;A332-13,$A$5:$A$504,"&lt;="&amp;A332-7)=0),"",C332-AVERAGEIFS($B$5:$B$504,$A$5:$A$504,"&gt;="&amp;A332-13,$A$5:$A$504,"&lt;="&amp;A332-7))</f>
        <v/>
      </c>
      <c r="E332" s="18" t="str">
        <f aca="false">IF(D332="","",IF(AND(D332&gt;=0.2,D332&lt;=0.35),"On target — change nothing",IF(D332&lt;0.2,"Gaining too slowly — add 200 kcal to training days","Gaining too fast — cut 200 kcal from training days")))</f>
        <v/>
      </c>
    </row>
    <row r="333" customFormat="false" ht="15" hidden="false" customHeight="false" outlineLevel="0" collapsed="false">
      <c r="A333" s="19"/>
      <c r="B333" s="20"/>
      <c r="C333" s="16" t="str">
        <f aca="false">IF(B333="","",IFERROR(AVERAGEIFS($B$5:$B$504,$A$5:$A$504,"&gt;="&amp;A333-6,$A$5:$A$504,"&lt;="&amp;A333),""))</f>
        <v/>
      </c>
      <c r="D333" s="17" t="str">
        <f aca="false">IF(OR(C333="",COUNTIFS($A$5:$A$504,"&gt;="&amp;A333-13,$A$5:$A$504,"&lt;="&amp;A333-7)=0),"",C333-AVERAGEIFS($B$5:$B$504,$A$5:$A$504,"&gt;="&amp;A333-13,$A$5:$A$504,"&lt;="&amp;A333-7))</f>
        <v/>
      </c>
      <c r="E333" s="18" t="str">
        <f aca="false">IF(D333="","",IF(AND(D333&gt;=0.2,D333&lt;=0.35),"On target — change nothing",IF(D333&lt;0.2,"Gaining too slowly — add 200 kcal to training days","Gaining too fast — cut 200 kcal from training days")))</f>
        <v/>
      </c>
    </row>
    <row r="334" customFormat="false" ht="15" hidden="false" customHeight="false" outlineLevel="0" collapsed="false">
      <c r="A334" s="19"/>
      <c r="B334" s="20"/>
      <c r="C334" s="16" t="str">
        <f aca="false">IF(B334="","",IFERROR(AVERAGEIFS($B$5:$B$504,$A$5:$A$504,"&gt;="&amp;A334-6,$A$5:$A$504,"&lt;="&amp;A334),""))</f>
        <v/>
      </c>
      <c r="D334" s="17" t="str">
        <f aca="false">IF(OR(C334="",COUNTIFS($A$5:$A$504,"&gt;="&amp;A334-13,$A$5:$A$504,"&lt;="&amp;A334-7)=0),"",C334-AVERAGEIFS($B$5:$B$504,$A$5:$A$504,"&gt;="&amp;A334-13,$A$5:$A$504,"&lt;="&amp;A334-7))</f>
        <v/>
      </c>
      <c r="E334" s="18" t="str">
        <f aca="false">IF(D334="","",IF(AND(D334&gt;=0.2,D334&lt;=0.35),"On target — change nothing",IF(D334&lt;0.2,"Gaining too slowly — add 200 kcal to training days","Gaining too fast — cut 200 kcal from training days")))</f>
        <v/>
      </c>
    </row>
    <row r="335" customFormat="false" ht="15" hidden="false" customHeight="false" outlineLevel="0" collapsed="false">
      <c r="A335" s="19"/>
      <c r="B335" s="20"/>
      <c r="C335" s="16" t="str">
        <f aca="false">IF(B335="","",IFERROR(AVERAGEIFS($B$5:$B$504,$A$5:$A$504,"&gt;="&amp;A335-6,$A$5:$A$504,"&lt;="&amp;A335),""))</f>
        <v/>
      </c>
      <c r="D335" s="17" t="str">
        <f aca="false">IF(OR(C335="",COUNTIFS($A$5:$A$504,"&gt;="&amp;A335-13,$A$5:$A$504,"&lt;="&amp;A335-7)=0),"",C335-AVERAGEIFS($B$5:$B$504,$A$5:$A$504,"&gt;="&amp;A335-13,$A$5:$A$504,"&lt;="&amp;A335-7))</f>
        <v/>
      </c>
      <c r="E335" s="18" t="str">
        <f aca="false">IF(D335="","",IF(AND(D335&gt;=0.2,D335&lt;=0.35),"On target — change nothing",IF(D335&lt;0.2,"Gaining too slowly — add 200 kcal to training days","Gaining too fast — cut 200 kcal from training days")))</f>
        <v/>
      </c>
    </row>
    <row r="336" customFormat="false" ht="15" hidden="false" customHeight="false" outlineLevel="0" collapsed="false">
      <c r="A336" s="19"/>
      <c r="B336" s="20"/>
      <c r="C336" s="16" t="str">
        <f aca="false">IF(B336="","",IFERROR(AVERAGEIFS($B$5:$B$504,$A$5:$A$504,"&gt;="&amp;A336-6,$A$5:$A$504,"&lt;="&amp;A336),""))</f>
        <v/>
      </c>
      <c r="D336" s="17" t="str">
        <f aca="false">IF(OR(C336="",COUNTIFS($A$5:$A$504,"&gt;="&amp;A336-13,$A$5:$A$504,"&lt;="&amp;A336-7)=0),"",C336-AVERAGEIFS($B$5:$B$504,$A$5:$A$504,"&gt;="&amp;A336-13,$A$5:$A$504,"&lt;="&amp;A336-7))</f>
        <v/>
      </c>
      <c r="E336" s="18" t="str">
        <f aca="false">IF(D336="","",IF(AND(D336&gt;=0.2,D336&lt;=0.35),"On target — change nothing",IF(D336&lt;0.2,"Gaining too slowly — add 200 kcal to training days","Gaining too fast — cut 200 kcal from training days")))</f>
        <v/>
      </c>
    </row>
    <row r="337" customFormat="false" ht="15" hidden="false" customHeight="false" outlineLevel="0" collapsed="false">
      <c r="A337" s="19"/>
      <c r="B337" s="20"/>
      <c r="C337" s="16" t="str">
        <f aca="false">IF(B337="","",IFERROR(AVERAGEIFS($B$5:$B$504,$A$5:$A$504,"&gt;="&amp;A337-6,$A$5:$A$504,"&lt;="&amp;A337),""))</f>
        <v/>
      </c>
      <c r="D337" s="17" t="str">
        <f aca="false">IF(OR(C337="",COUNTIFS($A$5:$A$504,"&gt;="&amp;A337-13,$A$5:$A$504,"&lt;="&amp;A337-7)=0),"",C337-AVERAGEIFS($B$5:$B$504,$A$5:$A$504,"&gt;="&amp;A337-13,$A$5:$A$504,"&lt;="&amp;A337-7))</f>
        <v/>
      </c>
      <c r="E337" s="18" t="str">
        <f aca="false">IF(D337="","",IF(AND(D337&gt;=0.2,D337&lt;=0.35),"On target — change nothing",IF(D337&lt;0.2,"Gaining too slowly — add 200 kcal to training days","Gaining too fast — cut 200 kcal from training days")))</f>
        <v/>
      </c>
    </row>
    <row r="338" customFormat="false" ht="15" hidden="false" customHeight="false" outlineLevel="0" collapsed="false">
      <c r="A338" s="19"/>
      <c r="B338" s="20"/>
      <c r="C338" s="16" t="str">
        <f aca="false">IF(B338="","",IFERROR(AVERAGEIFS($B$5:$B$504,$A$5:$A$504,"&gt;="&amp;A338-6,$A$5:$A$504,"&lt;="&amp;A338),""))</f>
        <v/>
      </c>
      <c r="D338" s="17" t="str">
        <f aca="false">IF(OR(C338="",COUNTIFS($A$5:$A$504,"&gt;="&amp;A338-13,$A$5:$A$504,"&lt;="&amp;A338-7)=0),"",C338-AVERAGEIFS($B$5:$B$504,$A$5:$A$504,"&gt;="&amp;A338-13,$A$5:$A$504,"&lt;="&amp;A338-7))</f>
        <v/>
      </c>
      <c r="E338" s="18" t="str">
        <f aca="false">IF(D338="","",IF(AND(D338&gt;=0.2,D338&lt;=0.35),"On target — change nothing",IF(D338&lt;0.2,"Gaining too slowly — add 200 kcal to training days","Gaining too fast — cut 200 kcal from training days")))</f>
        <v/>
      </c>
    </row>
    <row r="339" customFormat="false" ht="15" hidden="false" customHeight="false" outlineLevel="0" collapsed="false">
      <c r="A339" s="19"/>
      <c r="B339" s="20"/>
      <c r="C339" s="16" t="str">
        <f aca="false">IF(B339="","",IFERROR(AVERAGEIFS($B$5:$B$504,$A$5:$A$504,"&gt;="&amp;A339-6,$A$5:$A$504,"&lt;="&amp;A339),""))</f>
        <v/>
      </c>
      <c r="D339" s="17" t="str">
        <f aca="false">IF(OR(C339="",COUNTIFS($A$5:$A$504,"&gt;="&amp;A339-13,$A$5:$A$504,"&lt;="&amp;A339-7)=0),"",C339-AVERAGEIFS($B$5:$B$504,$A$5:$A$504,"&gt;="&amp;A339-13,$A$5:$A$504,"&lt;="&amp;A339-7))</f>
        <v/>
      </c>
      <c r="E339" s="18" t="str">
        <f aca="false">IF(D339="","",IF(AND(D339&gt;=0.2,D339&lt;=0.35),"On target — change nothing",IF(D339&lt;0.2,"Gaining too slowly — add 200 kcal to training days","Gaining too fast — cut 200 kcal from training days")))</f>
        <v/>
      </c>
    </row>
    <row r="340" customFormat="false" ht="15" hidden="false" customHeight="false" outlineLevel="0" collapsed="false">
      <c r="A340" s="19"/>
      <c r="B340" s="20"/>
      <c r="C340" s="16" t="str">
        <f aca="false">IF(B340="","",IFERROR(AVERAGEIFS($B$5:$B$504,$A$5:$A$504,"&gt;="&amp;A340-6,$A$5:$A$504,"&lt;="&amp;A340),""))</f>
        <v/>
      </c>
      <c r="D340" s="17" t="str">
        <f aca="false">IF(OR(C340="",COUNTIFS($A$5:$A$504,"&gt;="&amp;A340-13,$A$5:$A$504,"&lt;="&amp;A340-7)=0),"",C340-AVERAGEIFS($B$5:$B$504,$A$5:$A$504,"&gt;="&amp;A340-13,$A$5:$A$504,"&lt;="&amp;A340-7))</f>
        <v/>
      </c>
      <c r="E340" s="18" t="str">
        <f aca="false">IF(D340="","",IF(AND(D340&gt;=0.2,D340&lt;=0.35),"On target — change nothing",IF(D340&lt;0.2,"Gaining too slowly — add 200 kcal to training days","Gaining too fast — cut 200 kcal from training days")))</f>
        <v/>
      </c>
    </row>
    <row r="341" customFormat="false" ht="15" hidden="false" customHeight="false" outlineLevel="0" collapsed="false">
      <c r="A341" s="19"/>
      <c r="B341" s="20"/>
      <c r="C341" s="16" t="str">
        <f aca="false">IF(B341="","",IFERROR(AVERAGEIFS($B$5:$B$504,$A$5:$A$504,"&gt;="&amp;A341-6,$A$5:$A$504,"&lt;="&amp;A341),""))</f>
        <v/>
      </c>
      <c r="D341" s="17" t="str">
        <f aca="false">IF(OR(C341="",COUNTIFS($A$5:$A$504,"&gt;="&amp;A341-13,$A$5:$A$504,"&lt;="&amp;A341-7)=0),"",C341-AVERAGEIFS($B$5:$B$504,$A$5:$A$504,"&gt;="&amp;A341-13,$A$5:$A$504,"&lt;="&amp;A341-7))</f>
        <v/>
      </c>
      <c r="E341" s="18" t="str">
        <f aca="false">IF(D341="","",IF(AND(D341&gt;=0.2,D341&lt;=0.35),"On target — change nothing",IF(D341&lt;0.2,"Gaining too slowly — add 200 kcal to training days","Gaining too fast — cut 200 kcal from training days")))</f>
        <v/>
      </c>
    </row>
    <row r="342" customFormat="false" ht="15" hidden="false" customHeight="false" outlineLevel="0" collapsed="false">
      <c r="A342" s="19"/>
      <c r="B342" s="20"/>
      <c r="C342" s="16" t="str">
        <f aca="false">IF(B342="","",IFERROR(AVERAGEIFS($B$5:$B$504,$A$5:$A$504,"&gt;="&amp;A342-6,$A$5:$A$504,"&lt;="&amp;A342),""))</f>
        <v/>
      </c>
      <c r="D342" s="17" t="str">
        <f aca="false">IF(OR(C342="",COUNTIFS($A$5:$A$504,"&gt;="&amp;A342-13,$A$5:$A$504,"&lt;="&amp;A342-7)=0),"",C342-AVERAGEIFS($B$5:$B$504,$A$5:$A$504,"&gt;="&amp;A342-13,$A$5:$A$504,"&lt;="&amp;A342-7))</f>
        <v/>
      </c>
      <c r="E342" s="18" t="str">
        <f aca="false">IF(D342="","",IF(AND(D342&gt;=0.2,D342&lt;=0.35),"On target — change nothing",IF(D342&lt;0.2,"Gaining too slowly — add 200 kcal to training days","Gaining too fast — cut 200 kcal from training days")))</f>
        <v/>
      </c>
    </row>
    <row r="343" customFormat="false" ht="15" hidden="false" customHeight="false" outlineLevel="0" collapsed="false">
      <c r="A343" s="19"/>
      <c r="B343" s="20"/>
      <c r="C343" s="16" t="str">
        <f aca="false">IF(B343="","",IFERROR(AVERAGEIFS($B$5:$B$504,$A$5:$A$504,"&gt;="&amp;A343-6,$A$5:$A$504,"&lt;="&amp;A343),""))</f>
        <v/>
      </c>
      <c r="D343" s="17" t="str">
        <f aca="false">IF(OR(C343="",COUNTIFS($A$5:$A$504,"&gt;="&amp;A343-13,$A$5:$A$504,"&lt;="&amp;A343-7)=0),"",C343-AVERAGEIFS($B$5:$B$504,$A$5:$A$504,"&gt;="&amp;A343-13,$A$5:$A$504,"&lt;="&amp;A343-7))</f>
        <v/>
      </c>
      <c r="E343" s="18" t="str">
        <f aca="false">IF(D343="","",IF(AND(D343&gt;=0.2,D343&lt;=0.35),"On target — change nothing",IF(D343&lt;0.2,"Gaining too slowly — add 200 kcal to training days","Gaining too fast — cut 200 kcal from training days")))</f>
        <v/>
      </c>
    </row>
    <row r="344" customFormat="false" ht="15" hidden="false" customHeight="false" outlineLevel="0" collapsed="false">
      <c r="A344" s="19"/>
      <c r="B344" s="20"/>
      <c r="C344" s="16" t="str">
        <f aca="false">IF(B344="","",IFERROR(AVERAGEIFS($B$5:$B$504,$A$5:$A$504,"&gt;="&amp;A344-6,$A$5:$A$504,"&lt;="&amp;A344),""))</f>
        <v/>
      </c>
      <c r="D344" s="17" t="str">
        <f aca="false">IF(OR(C344="",COUNTIFS($A$5:$A$504,"&gt;="&amp;A344-13,$A$5:$A$504,"&lt;="&amp;A344-7)=0),"",C344-AVERAGEIFS($B$5:$B$504,$A$5:$A$504,"&gt;="&amp;A344-13,$A$5:$A$504,"&lt;="&amp;A344-7))</f>
        <v/>
      </c>
      <c r="E344" s="18" t="str">
        <f aca="false">IF(D344="","",IF(AND(D344&gt;=0.2,D344&lt;=0.35),"On target — change nothing",IF(D344&lt;0.2,"Gaining too slowly — add 200 kcal to training days","Gaining too fast — cut 200 kcal from training days")))</f>
        <v/>
      </c>
    </row>
    <row r="345" customFormat="false" ht="15" hidden="false" customHeight="false" outlineLevel="0" collapsed="false">
      <c r="A345" s="19"/>
      <c r="B345" s="20"/>
      <c r="C345" s="16" t="str">
        <f aca="false">IF(B345="","",IFERROR(AVERAGEIFS($B$5:$B$504,$A$5:$A$504,"&gt;="&amp;A345-6,$A$5:$A$504,"&lt;="&amp;A345),""))</f>
        <v/>
      </c>
      <c r="D345" s="17" t="str">
        <f aca="false">IF(OR(C345="",COUNTIFS($A$5:$A$504,"&gt;="&amp;A345-13,$A$5:$A$504,"&lt;="&amp;A345-7)=0),"",C345-AVERAGEIFS($B$5:$B$504,$A$5:$A$504,"&gt;="&amp;A345-13,$A$5:$A$504,"&lt;="&amp;A345-7))</f>
        <v/>
      </c>
      <c r="E345" s="18" t="str">
        <f aca="false">IF(D345="","",IF(AND(D345&gt;=0.2,D345&lt;=0.35),"On target — change nothing",IF(D345&lt;0.2,"Gaining too slowly — add 200 kcal to training days","Gaining too fast — cut 200 kcal from training days")))</f>
        <v/>
      </c>
    </row>
    <row r="346" customFormat="false" ht="15" hidden="false" customHeight="false" outlineLevel="0" collapsed="false">
      <c r="A346" s="19"/>
      <c r="B346" s="20"/>
      <c r="C346" s="16" t="str">
        <f aca="false">IF(B346="","",IFERROR(AVERAGEIFS($B$5:$B$504,$A$5:$A$504,"&gt;="&amp;A346-6,$A$5:$A$504,"&lt;="&amp;A346),""))</f>
        <v/>
      </c>
      <c r="D346" s="17" t="str">
        <f aca="false">IF(OR(C346="",COUNTIFS($A$5:$A$504,"&gt;="&amp;A346-13,$A$5:$A$504,"&lt;="&amp;A346-7)=0),"",C346-AVERAGEIFS($B$5:$B$504,$A$5:$A$504,"&gt;="&amp;A346-13,$A$5:$A$504,"&lt;="&amp;A346-7))</f>
        <v/>
      </c>
      <c r="E346" s="18" t="str">
        <f aca="false">IF(D346="","",IF(AND(D346&gt;=0.2,D346&lt;=0.35),"On target — change nothing",IF(D346&lt;0.2,"Gaining too slowly — add 200 kcal to training days","Gaining too fast — cut 200 kcal from training days")))</f>
        <v/>
      </c>
    </row>
    <row r="347" customFormat="false" ht="15" hidden="false" customHeight="false" outlineLevel="0" collapsed="false">
      <c r="A347" s="19"/>
      <c r="B347" s="20"/>
      <c r="C347" s="16" t="str">
        <f aca="false">IF(B347="","",IFERROR(AVERAGEIFS($B$5:$B$504,$A$5:$A$504,"&gt;="&amp;A347-6,$A$5:$A$504,"&lt;="&amp;A347),""))</f>
        <v/>
      </c>
      <c r="D347" s="17" t="str">
        <f aca="false">IF(OR(C347="",COUNTIFS($A$5:$A$504,"&gt;="&amp;A347-13,$A$5:$A$504,"&lt;="&amp;A347-7)=0),"",C347-AVERAGEIFS($B$5:$B$504,$A$5:$A$504,"&gt;="&amp;A347-13,$A$5:$A$504,"&lt;="&amp;A347-7))</f>
        <v/>
      </c>
      <c r="E347" s="18" t="str">
        <f aca="false">IF(D347="","",IF(AND(D347&gt;=0.2,D347&lt;=0.35),"On target — change nothing",IF(D347&lt;0.2,"Gaining too slowly — add 200 kcal to training days","Gaining too fast — cut 200 kcal from training days")))</f>
        <v/>
      </c>
    </row>
    <row r="348" customFormat="false" ht="15" hidden="false" customHeight="false" outlineLevel="0" collapsed="false">
      <c r="A348" s="19"/>
      <c r="B348" s="20"/>
      <c r="C348" s="16" t="str">
        <f aca="false">IF(B348="","",IFERROR(AVERAGEIFS($B$5:$B$504,$A$5:$A$504,"&gt;="&amp;A348-6,$A$5:$A$504,"&lt;="&amp;A348),""))</f>
        <v/>
      </c>
      <c r="D348" s="17" t="str">
        <f aca="false">IF(OR(C348="",COUNTIFS($A$5:$A$504,"&gt;="&amp;A348-13,$A$5:$A$504,"&lt;="&amp;A348-7)=0),"",C348-AVERAGEIFS($B$5:$B$504,$A$5:$A$504,"&gt;="&amp;A348-13,$A$5:$A$504,"&lt;="&amp;A348-7))</f>
        <v/>
      </c>
      <c r="E348" s="18" t="str">
        <f aca="false">IF(D348="","",IF(AND(D348&gt;=0.2,D348&lt;=0.35),"On target — change nothing",IF(D348&lt;0.2,"Gaining too slowly — add 200 kcal to training days","Gaining too fast — cut 200 kcal from training days")))</f>
        <v/>
      </c>
    </row>
    <row r="349" customFormat="false" ht="15" hidden="false" customHeight="false" outlineLevel="0" collapsed="false">
      <c r="A349" s="19"/>
      <c r="B349" s="20"/>
      <c r="C349" s="16" t="str">
        <f aca="false">IF(B349="","",IFERROR(AVERAGEIFS($B$5:$B$504,$A$5:$A$504,"&gt;="&amp;A349-6,$A$5:$A$504,"&lt;="&amp;A349),""))</f>
        <v/>
      </c>
      <c r="D349" s="17" t="str">
        <f aca="false">IF(OR(C349="",COUNTIFS($A$5:$A$504,"&gt;="&amp;A349-13,$A$5:$A$504,"&lt;="&amp;A349-7)=0),"",C349-AVERAGEIFS($B$5:$B$504,$A$5:$A$504,"&gt;="&amp;A349-13,$A$5:$A$504,"&lt;="&amp;A349-7))</f>
        <v/>
      </c>
      <c r="E349" s="18" t="str">
        <f aca="false">IF(D349="","",IF(AND(D349&gt;=0.2,D349&lt;=0.35),"On target — change nothing",IF(D349&lt;0.2,"Gaining too slowly — add 200 kcal to training days","Gaining too fast — cut 200 kcal from training days")))</f>
        <v/>
      </c>
    </row>
    <row r="350" customFormat="false" ht="15" hidden="false" customHeight="false" outlineLevel="0" collapsed="false">
      <c r="A350" s="19"/>
      <c r="B350" s="20"/>
      <c r="C350" s="16" t="str">
        <f aca="false">IF(B350="","",IFERROR(AVERAGEIFS($B$5:$B$504,$A$5:$A$504,"&gt;="&amp;A350-6,$A$5:$A$504,"&lt;="&amp;A350),""))</f>
        <v/>
      </c>
      <c r="D350" s="17" t="str">
        <f aca="false">IF(OR(C350="",COUNTIFS($A$5:$A$504,"&gt;="&amp;A350-13,$A$5:$A$504,"&lt;="&amp;A350-7)=0),"",C350-AVERAGEIFS($B$5:$B$504,$A$5:$A$504,"&gt;="&amp;A350-13,$A$5:$A$504,"&lt;="&amp;A350-7))</f>
        <v/>
      </c>
      <c r="E350" s="18" t="str">
        <f aca="false">IF(D350="","",IF(AND(D350&gt;=0.2,D350&lt;=0.35),"On target — change nothing",IF(D350&lt;0.2,"Gaining too slowly — add 200 kcal to training days","Gaining too fast — cut 200 kcal from training days")))</f>
        <v/>
      </c>
    </row>
    <row r="351" customFormat="false" ht="15" hidden="false" customHeight="false" outlineLevel="0" collapsed="false">
      <c r="A351" s="19"/>
      <c r="B351" s="20"/>
      <c r="C351" s="16" t="str">
        <f aca="false">IF(B351="","",IFERROR(AVERAGEIFS($B$5:$B$504,$A$5:$A$504,"&gt;="&amp;A351-6,$A$5:$A$504,"&lt;="&amp;A351),""))</f>
        <v/>
      </c>
      <c r="D351" s="17" t="str">
        <f aca="false">IF(OR(C351="",COUNTIFS($A$5:$A$504,"&gt;="&amp;A351-13,$A$5:$A$504,"&lt;="&amp;A351-7)=0),"",C351-AVERAGEIFS($B$5:$B$504,$A$5:$A$504,"&gt;="&amp;A351-13,$A$5:$A$504,"&lt;="&amp;A351-7))</f>
        <v/>
      </c>
      <c r="E351" s="18" t="str">
        <f aca="false">IF(D351="","",IF(AND(D351&gt;=0.2,D351&lt;=0.35),"On target — change nothing",IF(D351&lt;0.2,"Gaining too slowly — add 200 kcal to training days","Gaining too fast — cut 200 kcal from training days")))</f>
        <v/>
      </c>
    </row>
    <row r="352" customFormat="false" ht="15" hidden="false" customHeight="false" outlineLevel="0" collapsed="false">
      <c r="A352" s="19"/>
      <c r="B352" s="20"/>
      <c r="C352" s="16" t="str">
        <f aca="false">IF(B352="","",IFERROR(AVERAGEIFS($B$5:$B$504,$A$5:$A$504,"&gt;="&amp;A352-6,$A$5:$A$504,"&lt;="&amp;A352),""))</f>
        <v/>
      </c>
      <c r="D352" s="17" t="str">
        <f aca="false">IF(OR(C352="",COUNTIFS($A$5:$A$504,"&gt;="&amp;A352-13,$A$5:$A$504,"&lt;="&amp;A352-7)=0),"",C352-AVERAGEIFS($B$5:$B$504,$A$5:$A$504,"&gt;="&amp;A352-13,$A$5:$A$504,"&lt;="&amp;A352-7))</f>
        <v/>
      </c>
      <c r="E352" s="18" t="str">
        <f aca="false">IF(D352="","",IF(AND(D352&gt;=0.2,D352&lt;=0.35),"On target — change nothing",IF(D352&lt;0.2,"Gaining too slowly — add 200 kcal to training days","Gaining too fast — cut 200 kcal from training days")))</f>
        <v/>
      </c>
    </row>
    <row r="353" customFormat="false" ht="15" hidden="false" customHeight="false" outlineLevel="0" collapsed="false">
      <c r="A353" s="19"/>
      <c r="B353" s="20"/>
      <c r="C353" s="16" t="str">
        <f aca="false">IF(B353="","",IFERROR(AVERAGEIFS($B$5:$B$504,$A$5:$A$504,"&gt;="&amp;A353-6,$A$5:$A$504,"&lt;="&amp;A353),""))</f>
        <v/>
      </c>
      <c r="D353" s="17" t="str">
        <f aca="false">IF(OR(C353="",COUNTIFS($A$5:$A$504,"&gt;="&amp;A353-13,$A$5:$A$504,"&lt;="&amp;A353-7)=0),"",C353-AVERAGEIFS($B$5:$B$504,$A$5:$A$504,"&gt;="&amp;A353-13,$A$5:$A$504,"&lt;="&amp;A353-7))</f>
        <v/>
      </c>
      <c r="E353" s="18" t="str">
        <f aca="false">IF(D353="","",IF(AND(D353&gt;=0.2,D353&lt;=0.35),"On target — change nothing",IF(D353&lt;0.2,"Gaining too slowly — add 200 kcal to training days","Gaining too fast — cut 200 kcal from training days")))</f>
        <v/>
      </c>
    </row>
    <row r="354" customFormat="false" ht="15" hidden="false" customHeight="false" outlineLevel="0" collapsed="false">
      <c r="A354" s="19"/>
      <c r="B354" s="20"/>
      <c r="C354" s="16" t="str">
        <f aca="false">IF(B354="","",IFERROR(AVERAGEIFS($B$5:$B$504,$A$5:$A$504,"&gt;="&amp;A354-6,$A$5:$A$504,"&lt;="&amp;A354),""))</f>
        <v/>
      </c>
      <c r="D354" s="17" t="str">
        <f aca="false">IF(OR(C354="",COUNTIFS($A$5:$A$504,"&gt;="&amp;A354-13,$A$5:$A$504,"&lt;="&amp;A354-7)=0),"",C354-AVERAGEIFS($B$5:$B$504,$A$5:$A$504,"&gt;="&amp;A354-13,$A$5:$A$504,"&lt;="&amp;A354-7))</f>
        <v/>
      </c>
      <c r="E354" s="18" t="str">
        <f aca="false">IF(D354="","",IF(AND(D354&gt;=0.2,D354&lt;=0.35),"On target — change nothing",IF(D354&lt;0.2,"Gaining too slowly — add 200 kcal to training days","Gaining too fast — cut 200 kcal from training days")))</f>
        <v/>
      </c>
    </row>
    <row r="355" customFormat="false" ht="15" hidden="false" customHeight="false" outlineLevel="0" collapsed="false">
      <c r="A355" s="19"/>
      <c r="B355" s="20"/>
      <c r="C355" s="16" t="str">
        <f aca="false">IF(B355="","",IFERROR(AVERAGEIFS($B$5:$B$504,$A$5:$A$504,"&gt;="&amp;A355-6,$A$5:$A$504,"&lt;="&amp;A355),""))</f>
        <v/>
      </c>
      <c r="D355" s="17" t="str">
        <f aca="false">IF(OR(C355="",COUNTIFS($A$5:$A$504,"&gt;="&amp;A355-13,$A$5:$A$504,"&lt;="&amp;A355-7)=0),"",C355-AVERAGEIFS($B$5:$B$504,$A$5:$A$504,"&gt;="&amp;A355-13,$A$5:$A$504,"&lt;="&amp;A355-7))</f>
        <v/>
      </c>
      <c r="E355" s="18" t="str">
        <f aca="false">IF(D355="","",IF(AND(D355&gt;=0.2,D355&lt;=0.35),"On target — change nothing",IF(D355&lt;0.2,"Gaining too slowly — add 200 kcal to training days","Gaining too fast — cut 200 kcal from training days")))</f>
        <v/>
      </c>
    </row>
    <row r="356" customFormat="false" ht="15" hidden="false" customHeight="false" outlineLevel="0" collapsed="false">
      <c r="A356" s="19"/>
      <c r="B356" s="20"/>
      <c r="C356" s="16" t="str">
        <f aca="false">IF(B356="","",IFERROR(AVERAGEIFS($B$5:$B$504,$A$5:$A$504,"&gt;="&amp;A356-6,$A$5:$A$504,"&lt;="&amp;A356),""))</f>
        <v/>
      </c>
      <c r="D356" s="17" t="str">
        <f aca="false">IF(OR(C356="",COUNTIFS($A$5:$A$504,"&gt;="&amp;A356-13,$A$5:$A$504,"&lt;="&amp;A356-7)=0),"",C356-AVERAGEIFS($B$5:$B$504,$A$5:$A$504,"&gt;="&amp;A356-13,$A$5:$A$504,"&lt;="&amp;A356-7))</f>
        <v/>
      </c>
      <c r="E356" s="18" t="str">
        <f aca="false">IF(D356="","",IF(AND(D356&gt;=0.2,D356&lt;=0.35),"On target — change nothing",IF(D356&lt;0.2,"Gaining too slowly — add 200 kcal to training days","Gaining too fast — cut 200 kcal from training days")))</f>
        <v/>
      </c>
    </row>
    <row r="357" customFormat="false" ht="15" hidden="false" customHeight="false" outlineLevel="0" collapsed="false">
      <c r="A357" s="19"/>
      <c r="B357" s="20"/>
      <c r="C357" s="16" t="str">
        <f aca="false">IF(B357="","",IFERROR(AVERAGEIFS($B$5:$B$504,$A$5:$A$504,"&gt;="&amp;A357-6,$A$5:$A$504,"&lt;="&amp;A357),""))</f>
        <v/>
      </c>
      <c r="D357" s="17" t="str">
        <f aca="false">IF(OR(C357="",COUNTIFS($A$5:$A$504,"&gt;="&amp;A357-13,$A$5:$A$504,"&lt;="&amp;A357-7)=0),"",C357-AVERAGEIFS($B$5:$B$504,$A$5:$A$504,"&gt;="&amp;A357-13,$A$5:$A$504,"&lt;="&amp;A357-7))</f>
        <v/>
      </c>
      <c r="E357" s="18" t="str">
        <f aca="false">IF(D357="","",IF(AND(D357&gt;=0.2,D357&lt;=0.35),"On target — change nothing",IF(D357&lt;0.2,"Gaining too slowly — add 200 kcal to training days","Gaining too fast — cut 200 kcal from training days")))</f>
        <v/>
      </c>
    </row>
    <row r="358" customFormat="false" ht="15" hidden="false" customHeight="false" outlineLevel="0" collapsed="false">
      <c r="A358" s="19"/>
      <c r="B358" s="20"/>
      <c r="C358" s="16" t="str">
        <f aca="false">IF(B358="","",IFERROR(AVERAGEIFS($B$5:$B$504,$A$5:$A$504,"&gt;="&amp;A358-6,$A$5:$A$504,"&lt;="&amp;A358),""))</f>
        <v/>
      </c>
      <c r="D358" s="17" t="str">
        <f aca="false">IF(OR(C358="",COUNTIFS($A$5:$A$504,"&gt;="&amp;A358-13,$A$5:$A$504,"&lt;="&amp;A358-7)=0),"",C358-AVERAGEIFS($B$5:$B$504,$A$5:$A$504,"&gt;="&amp;A358-13,$A$5:$A$504,"&lt;="&amp;A358-7))</f>
        <v/>
      </c>
      <c r="E358" s="18" t="str">
        <f aca="false">IF(D358="","",IF(AND(D358&gt;=0.2,D358&lt;=0.35),"On target — change nothing",IF(D358&lt;0.2,"Gaining too slowly — add 200 kcal to training days","Gaining too fast — cut 200 kcal from training days")))</f>
        <v/>
      </c>
    </row>
    <row r="359" customFormat="false" ht="15" hidden="false" customHeight="false" outlineLevel="0" collapsed="false">
      <c r="A359" s="19"/>
      <c r="B359" s="20"/>
      <c r="C359" s="16" t="str">
        <f aca="false">IF(B359="","",IFERROR(AVERAGEIFS($B$5:$B$504,$A$5:$A$504,"&gt;="&amp;A359-6,$A$5:$A$504,"&lt;="&amp;A359),""))</f>
        <v/>
      </c>
      <c r="D359" s="17" t="str">
        <f aca="false">IF(OR(C359="",COUNTIFS($A$5:$A$504,"&gt;="&amp;A359-13,$A$5:$A$504,"&lt;="&amp;A359-7)=0),"",C359-AVERAGEIFS($B$5:$B$504,$A$5:$A$504,"&gt;="&amp;A359-13,$A$5:$A$504,"&lt;="&amp;A359-7))</f>
        <v/>
      </c>
      <c r="E359" s="18" t="str">
        <f aca="false">IF(D359="","",IF(AND(D359&gt;=0.2,D359&lt;=0.35),"On target — change nothing",IF(D359&lt;0.2,"Gaining too slowly — add 200 kcal to training days","Gaining too fast — cut 200 kcal from training days")))</f>
        <v/>
      </c>
    </row>
    <row r="360" customFormat="false" ht="15" hidden="false" customHeight="false" outlineLevel="0" collapsed="false">
      <c r="A360" s="19"/>
      <c r="B360" s="20"/>
      <c r="C360" s="16" t="str">
        <f aca="false">IF(B360="","",IFERROR(AVERAGEIFS($B$5:$B$504,$A$5:$A$504,"&gt;="&amp;A360-6,$A$5:$A$504,"&lt;="&amp;A360),""))</f>
        <v/>
      </c>
      <c r="D360" s="17" t="str">
        <f aca="false">IF(OR(C360="",COUNTIFS($A$5:$A$504,"&gt;="&amp;A360-13,$A$5:$A$504,"&lt;="&amp;A360-7)=0),"",C360-AVERAGEIFS($B$5:$B$504,$A$5:$A$504,"&gt;="&amp;A360-13,$A$5:$A$504,"&lt;="&amp;A360-7))</f>
        <v/>
      </c>
      <c r="E360" s="18" t="str">
        <f aca="false">IF(D360="","",IF(AND(D360&gt;=0.2,D360&lt;=0.35),"On target — change nothing",IF(D360&lt;0.2,"Gaining too slowly — add 200 kcal to training days","Gaining too fast — cut 200 kcal from training days")))</f>
        <v/>
      </c>
    </row>
    <row r="361" customFormat="false" ht="15" hidden="false" customHeight="false" outlineLevel="0" collapsed="false">
      <c r="A361" s="19"/>
      <c r="B361" s="20"/>
      <c r="C361" s="16" t="str">
        <f aca="false">IF(B361="","",IFERROR(AVERAGEIFS($B$5:$B$504,$A$5:$A$504,"&gt;="&amp;A361-6,$A$5:$A$504,"&lt;="&amp;A361),""))</f>
        <v/>
      </c>
      <c r="D361" s="17" t="str">
        <f aca="false">IF(OR(C361="",COUNTIFS($A$5:$A$504,"&gt;="&amp;A361-13,$A$5:$A$504,"&lt;="&amp;A361-7)=0),"",C361-AVERAGEIFS($B$5:$B$504,$A$5:$A$504,"&gt;="&amp;A361-13,$A$5:$A$504,"&lt;="&amp;A361-7))</f>
        <v/>
      </c>
      <c r="E361" s="18" t="str">
        <f aca="false">IF(D361="","",IF(AND(D361&gt;=0.2,D361&lt;=0.35),"On target — change nothing",IF(D361&lt;0.2,"Gaining too slowly — add 200 kcal to training days","Gaining too fast — cut 200 kcal from training days")))</f>
        <v/>
      </c>
    </row>
    <row r="362" customFormat="false" ht="15" hidden="false" customHeight="false" outlineLevel="0" collapsed="false">
      <c r="A362" s="19"/>
      <c r="B362" s="20"/>
      <c r="C362" s="16" t="str">
        <f aca="false">IF(B362="","",IFERROR(AVERAGEIFS($B$5:$B$504,$A$5:$A$504,"&gt;="&amp;A362-6,$A$5:$A$504,"&lt;="&amp;A362),""))</f>
        <v/>
      </c>
      <c r="D362" s="17" t="str">
        <f aca="false">IF(OR(C362="",COUNTIFS($A$5:$A$504,"&gt;="&amp;A362-13,$A$5:$A$504,"&lt;="&amp;A362-7)=0),"",C362-AVERAGEIFS($B$5:$B$504,$A$5:$A$504,"&gt;="&amp;A362-13,$A$5:$A$504,"&lt;="&amp;A362-7))</f>
        <v/>
      </c>
      <c r="E362" s="18" t="str">
        <f aca="false">IF(D362="","",IF(AND(D362&gt;=0.2,D362&lt;=0.35),"On target — change nothing",IF(D362&lt;0.2,"Gaining too slowly — add 200 kcal to training days","Gaining too fast — cut 200 kcal from training days")))</f>
        <v/>
      </c>
    </row>
    <row r="363" customFormat="false" ht="15" hidden="false" customHeight="false" outlineLevel="0" collapsed="false">
      <c r="A363" s="19"/>
      <c r="B363" s="20"/>
      <c r="C363" s="16" t="str">
        <f aca="false">IF(B363="","",IFERROR(AVERAGEIFS($B$5:$B$504,$A$5:$A$504,"&gt;="&amp;A363-6,$A$5:$A$504,"&lt;="&amp;A363),""))</f>
        <v/>
      </c>
      <c r="D363" s="17" t="str">
        <f aca="false">IF(OR(C363="",COUNTIFS($A$5:$A$504,"&gt;="&amp;A363-13,$A$5:$A$504,"&lt;="&amp;A363-7)=0),"",C363-AVERAGEIFS($B$5:$B$504,$A$5:$A$504,"&gt;="&amp;A363-13,$A$5:$A$504,"&lt;="&amp;A363-7))</f>
        <v/>
      </c>
      <c r="E363" s="18" t="str">
        <f aca="false">IF(D363="","",IF(AND(D363&gt;=0.2,D363&lt;=0.35),"On target — change nothing",IF(D363&lt;0.2,"Gaining too slowly — add 200 kcal to training days","Gaining too fast — cut 200 kcal from training days")))</f>
        <v/>
      </c>
    </row>
    <row r="364" customFormat="false" ht="15" hidden="false" customHeight="false" outlineLevel="0" collapsed="false">
      <c r="A364" s="19"/>
      <c r="B364" s="20"/>
      <c r="C364" s="16" t="str">
        <f aca="false">IF(B364="","",IFERROR(AVERAGEIFS($B$5:$B$504,$A$5:$A$504,"&gt;="&amp;A364-6,$A$5:$A$504,"&lt;="&amp;A364),""))</f>
        <v/>
      </c>
      <c r="D364" s="17" t="str">
        <f aca="false">IF(OR(C364="",COUNTIFS($A$5:$A$504,"&gt;="&amp;A364-13,$A$5:$A$504,"&lt;="&amp;A364-7)=0),"",C364-AVERAGEIFS($B$5:$B$504,$A$5:$A$504,"&gt;="&amp;A364-13,$A$5:$A$504,"&lt;="&amp;A364-7))</f>
        <v/>
      </c>
      <c r="E364" s="18" t="str">
        <f aca="false">IF(D364="","",IF(AND(D364&gt;=0.2,D364&lt;=0.35),"On target — change nothing",IF(D364&lt;0.2,"Gaining too slowly — add 200 kcal to training days","Gaining too fast — cut 200 kcal from training days")))</f>
        <v/>
      </c>
    </row>
    <row r="365" customFormat="false" ht="15" hidden="false" customHeight="false" outlineLevel="0" collapsed="false">
      <c r="A365" s="19"/>
      <c r="B365" s="20"/>
      <c r="C365" s="16" t="str">
        <f aca="false">IF(B365="","",IFERROR(AVERAGEIFS($B$5:$B$504,$A$5:$A$504,"&gt;="&amp;A365-6,$A$5:$A$504,"&lt;="&amp;A365),""))</f>
        <v/>
      </c>
      <c r="D365" s="17" t="str">
        <f aca="false">IF(OR(C365="",COUNTIFS($A$5:$A$504,"&gt;="&amp;A365-13,$A$5:$A$504,"&lt;="&amp;A365-7)=0),"",C365-AVERAGEIFS($B$5:$B$504,$A$5:$A$504,"&gt;="&amp;A365-13,$A$5:$A$504,"&lt;="&amp;A365-7))</f>
        <v/>
      </c>
      <c r="E365" s="18" t="str">
        <f aca="false">IF(D365="","",IF(AND(D365&gt;=0.2,D365&lt;=0.35),"On target — change nothing",IF(D365&lt;0.2,"Gaining too slowly — add 200 kcal to training days","Gaining too fast — cut 200 kcal from training days")))</f>
        <v/>
      </c>
    </row>
    <row r="366" customFormat="false" ht="15" hidden="false" customHeight="false" outlineLevel="0" collapsed="false">
      <c r="A366" s="19"/>
      <c r="B366" s="20"/>
      <c r="C366" s="16" t="str">
        <f aca="false">IF(B366="","",IFERROR(AVERAGEIFS($B$5:$B$504,$A$5:$A$504,"&gt;="&amp;A366-6,$A$5:$A$504,"&lt;="&amp;A366),""))</f>
        <v/>
      </c>
      <c r="D366" s="17" t="str">
        <f aca="false">IF(OR(C366="",COUNTIFS($A$5:$A$504,"&gt;="&amp;A366-13,$A$5:$A$504,"&lt;="&amp;A366-7)=0),"",C366-AVERAGEIFS($B$5:$B$504,$A$5:$A$504,"&gt;="&amp;A366-13,$A$5:$A$504,"&lt;="&amp;A366-7))</f>
        <v/>
      </c>
      <c r="E366" s="18" t="str">
        <f aca="false">IF(D366="","",IF(AND(D366&gt;=0.2,D366&lt;=0.35),"On target — change nothing",IF(D366&lt;0.2,"Gaining too slowly — add 200 kcal to training days","Gaining too fast — cut 200 kcal from training days")))</f>
        <v/>
      </c>
    </row>
    <row r="367" customFormat="false" ht="15" hidden="false" customHeight="false" outlineLevel="0" collapsed="false">
      <c r="A367" s="19"/>
      <c r="B367" s="20"/>
      <c r="C367" s="16" t="str">
        <f aca="false">IF(B367="","",IFERROR(AVERAGEIFS($B$5:$B$504,$A$5:$A$504,"&gt;="&amp;A367-6,$A$5:$A$504,"&lt;="&amp;A367),""))</f>
        <v/>
      </c>
      <c r="D367" s="17" t="str">
        <f aca="false">IF(OR(C367="",COUNTIFS($A$5:$A$504,"&gt;="&amp;A367-13,$A$5:$A$504,"&lt;="&amp;A367-7)=0),"",C367-AVERAGEIFS($B$5:$B$504,$A$5:$A$504,"&gt;="&amp;A367-13,$A$5:$A$504,"&lt;="&amp;A367-7))</f>
        <v/>
      </c>
      <c r="E367" s="18" t="str">
        <f aca="false">IF(D367="","",IF(AND(D367&gt;=0.2,D367&lt;=0.35),"On target — change nothing",IF(D367&lt;0.2,"Gaining too slowly — add 200 kcal to training days","Gaining too fast — cut 200 kcal from training days")))</f>
        <v/>
      </c>
    </row>
    <row r="368" customFormat="false" ht="15" hidden="false" customHeight="false" outlineLevel="0" collapsed="false">
      <c r="A368" s="19"/>
      <c r="B368" s="20"/>
      <c r="C368" s="16" t="str">
        <f aca="false">IF(B368="","",IFERROR(AVERAGEIFS($B$5:$B$504,$A$5:$A$504,"&gt;="&amp;A368-6,$A$5:$A$504,"&lt;="&amp;A368),""))</f>
        <v/>
      </c>
      <c r="D368" s="17" t="str">
        <f aca="false">IF(OR(C368="",COUNTIFS($A$5:$A$504,"&gt;="&amp;A368-13,$A$5:$A$504,"&lt;="&amp;A368-7)=0),"",C368-AVERAGEIFS($B$5:$B$504,$A$5:$A$504,"&gt;="&amp;A368-13,$A$5:$A$504,"&lt;="&amp;A368-7))</f>
        <v/>
      </c>
      <c r="E368" s="18" t="str">
        <f aca="false">IF(D368="","",IF(AND(D368&gt;=0.2,D368&lt;=0.35),"On target — change nothing",IF(D368&lt;0.2,"Gaining too slowly — add 200 kcal to training days","Gaining too fast — cut 200 kcal from training days")))</f>
        <v/>
      </c>
    </row>
    <row r="369" customFormat="false" ht="15" hidden="false" customHeight="false" outlineLevel="0" collapsed="false">
      <c r="A369" s="19"/>
      <c r="B369" s="20"/>
      <c r="C369" s="16" t="str">
        <f aca="false">IF(B369="","",IFERROR(AVERAGEIFS($B$5:$B$504,$A$5:$A$504,"&gt;="&amp;A369-6,$A$5:$A$504,"&lt;="&amp;A369),""))</f>
        <v/>
      </c>
      <c r="D369" s="17" t="str">
        <f aca="false">IF(OR(C369="",COUNTIFS($A$5:$A$504,"&gt;="&amp;A369-13,$A$5:$A$504,"&lt;="&amp;A369-7)=0),"",C369-AVERAGEIFS($B$5:$B$504,$A$5:$A$504,"&gt;="&amp;A369-13,$A$5:$A$504,"&lt;="&amp;A369-7))</f>
        <v/>
      </c>
      <c r="E369" s="18" t="str">
        <f aca="false">IF(D369="","",IF(AND(D369&gt;=0.2,D369&lt;=0.35),"On target — change nothing",IF(D369&lt;0.2,"Gaining too slowly — add 200 kcal to training days","Gaining too fast — cut 200 kcal from training days")))</f>
        <v/>
      </c>
    </row>
    <row r="370" customFormat="false" ht="15" hidden="false" customHeight="false" outlineLevel="0" collapsed="false">
      <c r="A370" s="19"/>
      <c r="B370" s="20"/>
      <c r="C370" s="16" t="str">
        <f aca="false">IF(B370="","",IFERROR(AVERAGEIFS($B$5:$B$504,$A$5:$A$504,"&gt;="&amp;A370-6,$A$5:$A$504,"&lt;="&amp;A370),""))</f>
        <v/>
      </c>
      <c r="D370" s="17" t="str">
        <f aca="false">IF(OR(C370="",COUNTIFS($A$5:$A$504,"&gt;="&amp;A370-13,$A$5:$A$504,"&lt;="&amp;A370-7)=0),"",C370-AVERAGEIFS($B$5:$B$504,$A$5:$A$504,"&gt;="&amp;A370-13,$A$5:$A$504,"&lt;="&amp;A370-7))</f>
        <v/>
      </c>
      <c r="E370" s="18" t="str">
        <f aca="false">IF(D370="","",IF(AND(D370&gt;=0.2,D370&lt;=0.35),"On target — change nothing",IF(D370&lt;0.2,"Gaining too slowly — add 200 kcal to training days","Gaining too fast — cut 200 kcal from training days")))</f>
        <v/>
      </c>
    </row>
    <row r="371" customFormat="false" ht="15" hidden="false" customHeight="false" outlineLevel="0" collapsed="false">
      <c r="A371" s="19"/>
      <c r="B371" s="20"/>
      <c r="C371" s="16" t="str">
        <f aca="false">IF(B371="","",IFERROR(AVERAGEIFS($B$5:$B$504,$A$5:$A$504,"&gt;="&amp;A371-6,$A$5:$A$504,"&lt;="&amp;A371),""))</f>
        <v/>
      </c>
      <c r="D371" s="17" t="str">
        <f aca="false">IF(OR(C371="",COUNTIFS($A$5:$A$504,"&gt;="&amp;A371-13,$A$5:$A$504,"&lt;="&amp;A371-7)=0),"",C371-AVERAGEIFS($B$5:$B$504,$A$5:$A$504,"&gt;="&amp;A371-13,$A$5:$A$504,"&lt;="&amp;A371-7))</f>
        <v/>
      </c>
      <c r="E371" s="18" t="str">
        <f aca="false">IF(D371="","",IF(AND(D371&gt;=0.2,D371&lt;=0.35),"On target — change nothing",IF(D371&lt;0.2,"Gaining too slowly — add 200 kcal to training days","Gaining too fast — cut 200 kcal from training days")))</f>
        <v/>
      </c>
    </row>
    <row r="372" customFormat="false" ht="15" hidden="false" customHeight="false" outlineLevel="0" collapsed="false">
      <c r="A372" s="19"/>
      <c r="B372" s="20"/>
      <c r="C372" s="16" t="str">
        <f aca="false">IF(B372="","",IFERROR(AVERAGEIFS($B$5:$B$504,$A$5:$A$504,"&gt;="&amp;A372-6,$A$5:$A$504,"&lt;="&amp;A372),""))</f>
        <v/>
      </c>
      <c r="D372" s="17" t="str">
        <f aca="false">IF(OR(C372="",COUNTIFS($A$5:$A$504,"&gt;="&amp;A372-13,$A$5:$A$504,"&lt;="&amp;A372-7)=0),"",C372-AVERAGEIFS($B$5:$B$504,$A$5:$A$504,"&gt;="&amp;A372-13,$A$5:$A$504,"&lt;="&amp;A372-7))</f>
        <v/>
      </c>
      <c r="E372" s="18" t="str">
        <f aca="false">IF(D372="","",IF(AND(D372&gt;=0.2,D372&lt;=0.35),"On target — change nothing",IF(D372&lt;0.2,"Gaining too slowly — add 200 kcal to training days","Gaining too fast — cut 200 kcal from training days")))</f>
        <v/>
      </c>
    </row>
    <row r="373" customFormat="false" ht="15" hidden="false" customHeight="false" outlineLevel="0" collapsed="false">
      <c r="A373" s="19"/>
      <c r="B373" s="20"/>
      <c r="C373" s="16" t="str">
        <f aca="false">IF(B373="","",IFERROR(AVERAGEIFS($B$5:$B$504,$A$5:$A$504,"&gt;="&amp;A373-6,$A$5:$A$504,"&lt;="&amp;A373),""))</f>
        <v/>
      </c>
      <c r="D373" s="17" t="str">
        <f aca="false">IF(OR(C373="",COUNTIFS($A$5:$A$504,"&gt;="&amp;A373-13,$A$5:$A$504,"&lt;="&amp;A373-7)=0),"",C373-AVERAGEIFS($B$5:$B$504,$A$5:$A$504,"&gt;="&amp;A373-13,$A$5:$A$504,"&lt;="&amp;A373-7))</f>
        <v/>
      </c>
      <c r="E373" s="18" t="str">
        <f aca="false">IF(D373="","",IF(AND(D373&gt;=0.2,D373&lt;=0.35),"On target — change nothing",IF(D373&lt;0.2,"Gaining too slowly — add 200 kcal to training days","Gaining too fast — cut 200 kcal from training days")))</f>
        <v/>
      </c>
    </row>
    <row r="374" customFormat="false" ht="15" hidden="false" customHeight="false" outlineLevel="0" collapsed="false">
      <c r="A374" s="19"/>
      <c r="B374" s="20"/>
      <c r="C374" s="16" t="str">
        <f aca="false">IF(B374="","",IFERROR(AVERAGEIFS($B$5:$B$504,$A$5:$A$504,"&gt;="&amp;A374-6,$A$5:$A$504,"&lt;="&amp;A374),""))</f>
        <v/>
      </c>
      <c r="D374" s="17" t="str">
        <f aca="false">IF(OR(C374="",COUNTIFS($A$5:$A$504,"&gt;="&amp;A374-13,$A$5:$A$504,"&lt;="&amp;A374-7)=0),"",C374-AVERAGEIFS($B$5:$B$504,$A$5:$A$504,"&gt;="&amp;A374-13,$A$5:$A$504,"&lt;="&amp;A374-7))</f>
        <v/>
      </c>
      <c r="E374" s="18" t="str">
        <f aca="false">IF(D374="","",IF(AND(D374&gt;=0.2,D374&lt;=0.35),"On target — change nothing",IF(D374&lt;0.2,"Gaining too slowly — add 200 kcal to training days","Gaining too fast — cut 200 kcal from training days")))</f>
        <v/>
      </c>
    </row>
    <row r="375" customFormat="false" ht="15" hidden="false" customHeight="false" outlineLevel="0" collapsed="false">
      <c r="A375" s="19"/>
      <c r="B375" s="20"/>
      <c r="C375" s="16" t="str">
        <f aca="false">IF(B375="","",IFERROR(AVERAGEIFS($B$5:$B$504,$A$5:$A$504,"&gt;="&amp;A375-6,$A$5:$A$504,"&lt;="&amp;A375),""))</f>
        <v/>
      </c>
      <c r="D375" s="17" t="str">
        <f aca="false">IF(OR(C375="",COUNTIFS($A$5:$A$504,"&gt;="&amp;A375-13,$A$5:$A$504,"&lt;="&amp;A375-7)=0),"",C375-AVERAGEIFS($B$5:$B$504,$A$5:$A$504,"&gt;="&amp;A375-13,$A$5:$A$504,"&lt;="&amp;A375-7))</f>
        <v/>
      </c>
      <c r="E375" s="18" t="str">
        <f aca="false">IF(D375="","",IF(AND(D375&gt;=0.2,D375&lt;=0.35),"On target — change nothing",IF(D375&lt;0.2,"Gaining too slowly — add 200 kcal to training days","Gaining too fast — cut 200 kcal from training days")))</f>
        <v/>
      </c>
    </row>
    <row r="376" customFormat="false" ht="15" hidden="false" customHeight="false" outlineLevel="0" collapsed="false">
      <c r="A376" s="19"/>
      <c r="B376" s="20"/>
      <c r="C376" s="16" t="str">
        <f aca="false">IF(B376="","",IFERROR(AVERAGEIFS($B$5:$B$504,$A$5:$A$504,"&gt;="&amp;A376-6,$A$5:$A$504,"&lt;="&amp;A376),""))</f>
        <v/>
      </c>
      <c r="D376" s="17" t="str">
        <f aca="false">IF(OR(C376="",COUNTIFS($A$5:$A$504,"&gt;="&amp;A376-13,$A$5:$A$504,"&lt;="&amp;A376-7)=0),"",C376-AVERAGEIFS($B$5:$B$504,$A$5:$A$504,"&gt;="&amp;A376-13,$A$5:$A$504,"&lt;="&amp;A376-7))</f>
        <v/>
      </c>
      <c r="E376" s="18" t="str">
        <f aca="false">IF(D376="","",IF(AND(D376&gt;=0.2,D376&lt;=0.35),"On target — change nothing",IF(D376&lt;0.2,"Gaining too slowly — add 200 kcal to training days","Gaining too fast — cut 200 kcal from training days")))</f>
        <v/>
      </c>
    </row>
    <row r="377" customFormat="false" ht="15" hidden="false" customHeight="false" outlineLevel="0" collapsed="false">
      <c r="A377" s="19"/>
      <c r="B377" s="20"/>
      <c r="C377" s="16" t="str">
        <f aca="false">IF(B377="","",IFERROR(AVERAGEIFS($B$5:$B$504,$A$5:$A$504,"&gt;="&amp;A377-6,$A$5:$A$504,"&lt;="&amp;A377),""))</f>
        <v/>
      </c>
      <c r="D377" s="17" t="str">
        <f aca="false">IF(OR(C377="",COUNTIFS($A$5:$A$504,"&gt;="&amp;A377-13,$A$5:$A$504,"&lt;="&amp;A377-7)=0),"",C377-AVERAGEIFS($B$5:$B$504,$A$5:$A$504,"&gt;="&amp;A377-13,$A$5:$A$504,"&lt;="&amp;A377-7))</f>
        <v/>
      </c>
      <c r="E377" s="18" t="str">
        <f aca="false">IF(D377="","",IF(AND(D377&gt;=0.2,D377&lt;=0.35),"On target — change nothing",IF(D377&lt;0.2,"Gaining too slowly — add 200 kcal to training days","Gaining too fast — cut 200 kcal from training days")))</f>
        <v/>
      </c>
    </row>
    <row r="378" customFormat="false" ht="15" hidden="false" customHeight="false" outlineLevel="0" collapsed="false">
      <c r="A378" s="19"/>
      <c r="B378" s="20"/>
      <c r="C378" s="16" t="str">
        <f aca="false">IF(B378="","",IFERROR(AVERAGEIFS($B$5:$B$504,$A$5:$A$504,"&gt;="&amp;A378-6,$A$5:$A$504,"&lt;="&amp;A378),""))</f>
        <v/>
      </c>
      <c r="D378" s="17" t="str">
        <f aca="false">IF(OR(C378="",COUNTIFS($A$5:$A$504,"&gt;="&amp;A378-13,$A$5:$A$504,"&lt;="&amp;A378-7)=0),"",C378-AVERAGEIFS($B$5:$B$504,$A$5:$A$504,"&gt;="&amp;A378-13,$A$5:$A$504,"&lt;="&amp;A378-7))</f>
        <v/>
      </c>
      <c r="E378" s="18" t="str">
        <f aca="false">IF(D378="","",IF(AND(D378&gt;=0.2,D378&lt;=0.35),"On target — change nothing",IF(D378&lt;0.2,"Gaining too slowly — add 200 kcal to training days","Gaining too fast — cut 200 kcal from training days")))</f>
        <v/>
      </c>
    </row>
    <row r="379" customFormat="false" ht="15" hidden="false" customHeight="false" outlineLevel="0" collapsed="false">
      <c r="A379" s="19"/>
      <c r="B379" s="20"/>
      <c r="C379" s="16" t="str">
        <f aca="false">IF(B379="","",IFERROR(AVERAGEIFS($B$5:$B$504,$A$5:$A$504,"&gt;="&amp;A379-6,$A$5:$A$504,"&lt;="&amp;A379),""))</f>
        <v/>
      </c>
      <c r="D379" s="17" t="str">
        <f aca="false">IF(OR(C379="",COUNTIFS($A$5:$A$504,"&gt;="&amp;A379-13,$A$5:$A$504,"&lt;="&amp;A379-7)=0),"",C379-AVERAGEIFS($B$5:$B$504,$A$5:$A$504,"&gt;="&amp;A379-13,$A$5:$A$504,"&lt;="&amp;A379-7))</f>
        <v/>
      </c>
      <c r="E379" s="18" t="str">
        <f aca="false">IF(D379="","",IF(AND(D379&gt;=0.2,D379&lt;=0.35),"On target — change nothing",IF(D379&lt;0.2,"Gaining too slowly — add 200 kcal to training days","Gaining too fast — cut 200 kcal from training days")))</f>
        <v/>
      </c>
    </row>
    <row r="380" customFormat="false" ht="15" hidden="false" customHeight="false" outlineLevel="0" collapsed="false">
      <c r="A380" s="19"/>
      <c r="B380" s="20"/>
      <c r="C380" s="16" t="str">
        <f aca="false">IF(B380="","",IFERROR(AVERAGEIFS($B$5:$B$504,$A$5:$A$504,"&gt;="&amp;A380-6,$A$5:$A$504,"&lt;="&amp;A380),""))</f>
        <v/>
      </c>
      <c r="D380" s="17" t="str">
        <f aca="false">IF(OR(C380="",COUNTIFS($A$5:$A$504,"&gt;="&amp;A380-13,$A$5:$A$504,"&lt;="&amp;A380-7)=0),"",C380-AVERAGEIFS($B$5:$B$504,$A$5:$A$504,"&gt;="&amp;A380-13,$A$5:$A$504,"&lt;="&amp;A380-7))</f>
        <v/>
      </c>
      <c r="E380" s="18" t="str">
        <f aca="false">IF(D380="","",IF(AND(D380&gt;=0.2,D380&lt;=0.35),"On target — change nothing",IF(D380&lt;0.2,"Gaining too slowly — add 200 kcal to training days","Gaining too fast — cut 200 kcal from training days")))</f>
        <v/>
      </c>
    </row>
    <row r="381" customFormat="false" ht="15" hidden="false" customHeight="false" outlineLevel="0" collapsed="false">
      <c r="A381" s="19"/>
      <c r="B381" s="20"/>
      <c r="C381" s="16" t="str">
        <f aca="false">IF(B381="","",IFERROR(AVERAGEIFS($B$5:$B$504,$A$5:$A$504,"&gt;="&amp;A381-6,$A$5:$A$504,"&lt;="&amp;A381),""))</f>
        <v/>
      </c>
      <c r="D381" s="17" t="str">
        <f aca="false">IF(OR(C381="",COUNTIFS($A$5:$A$504,"&gt;="&amp;A381-13,$A$5:$A$504,"&lt;="&amp;A381-7)=0),"",C381-AVERAGEIFS($B$5:$B$504,$A$5:$A$504,"&gt;="&amp;A381-13,$A$5:$A$504,"&lt;="&amp;A381-7))</f>
        <v/>
      </c>
      <c r="E381" s="18" t="str">
        <f aca="false">IF(D381="","",IF(AND(D381&gt;=0.2,D381&lt;=0.35),"On target — change nothing",IF(D381&lt;0.2,"Gaining too slowly — add 200 kcal to training days","Gaining too fast — cut 200 kcal from training days")))</f>
        <v/>
      </c>
    </row>
    <row r="382" customFormat="false" ht="15" hidden="false" customHeight="false" outlineLevel="0" collapsed="false">
      <c r="A382" s="19"/>
      <c r="B382" s="20"/>
      <c r="C382" s="16" t="str">
        <f aca="false">IF(B382="","",IFERROR(AVERAGEIFS($B$5:$B$504,$A$5:$A$504,"&gt;="&amp;A382-6,$A$5:$A$504,"&lt;="&amp;A382),""))</f>
        <v/>
      </c>
      <c r="D382" s="17" t="str">
        <f aca="false">IF(OR(C382="",COUNTIFS($A$5:$A$504,"&gt;="&amp;A382-13,$A$5:$A$504,"&lt;="&amp;A382-7)=0),"",C382-AVERAGEIFS($B$5:$B$504,$A$5:$A$504,"&gt;="&amp;A382-13,$A$5:$A$504,"&lt;="&amp;A382-7))</f>
        <v/>
      </c>
      <c r="E382" s="18" t="str">
        <f aca="false">IF(D382="","",IF(AND(D382&gt;=0.2,D382&lt;=0.35),"On target — change nothing",IF(D382&lt;0.2,"Gaining too slowly — add 200 kcal to training days","Gaining too fast — cut 200 kcal from training days")))</f>
        <v/>
      </c>
    </row>
    <row r="383" customFormat="false" ht="15" hidden="false" customHeight="false" outlineLevel="0" collapsed="false">
      <c r="A383" s="19"/>
      <c r="B383" s="20"/>
      <c r="C383" s="16" t="str">
        <f aca="false">IF(B383="","",IFERROR(AVERAGEIFS($B$5:$B$504,$A$5:$A$504,"&gt;="&amp;A383-6,$A$5:$A$504,"&lt;="&amp;A383),""))</f>
        <v/>
      </c>
      <c r="D383" s="17" t="str">
        <f aca="false">IF(OR(C383="",COUNTIFS($A$5:$A$504,"&gt;="&amp;A383-13,$A$5:$A$504,"&lt;="&amp;A383-7)=0),"",C383-AVERAGEIFS($B$5:$B$504,$A$5:$A$504,"&gt;="&amp;A383-13,$A$5:$A$504,"&lt;="&amp;A383-7))</f>
        <v/>
      </c>
      <c r="E383" s="18" t="str">
        <f aca="false">IF(D383="","",IF(AND(D383&gt;=0.2,D383&lt;=0.35),"On target — change nothing",IF(D383&lt;0.2,"Gaining too slowly — add 200 kcal to training days","Gaining too fast — cut 200 kcal from training days")))</f>
        <v/>
      </c>
    </row>
    <row r="384" customFormat="false" ht="15" hidden="false" customHeight="false" outlineLevel="0" collapsed="false">
      <c r="A384" s="19"/>
      <c r="B384" s="20"/>
      <c r="C384" s="16" t="str">
        <f aca="false">IF(B384="","",IFERROR(AVERAGEIFS($B$5:$B$504,$A$5:$A$504,"&gt;="&amp;A384-6,$A$5:$A$504,"&lt;="&amp;A384),""))</f>
        <v/>
      </c>
      <c r="D384" s="17" t="str">
        <f aca="false">IF(OR(C384="",COUNTIFS($A$5:$A$504,"&gt;="&amp;A384-13,$A$5:$A$504,"&lt;="&amp;A384-7)=0),"",C384-AVERAGEIFS($B$5:$B$504,$A$5:$A$504,"&gt;="&amp;A384-13,$A$5:$A$504,"&lt;="&amp;A384-7))</f>
        <v/>
      </c>
      <c r="E384" s="18" t="str">
        <f aca="false">IF(D384="","",IF(AND(D384&gt;=0.2,D384&lt;=0.35),"On target — change nothing",IF(D384&lt;0.2,"Gaining too slowly — add 200 kcal to training days","Gaining too fast — cut 200 kcal from training days")))</f>
        <v/>
      </c>
    </row>
    <row r="385" customFormat="false" ht="15" hidden="false" customHeight="false" outlineLevel="0" collapsed="false">
      <c r="A385" s="19"/>
      <c r="B385" s="20"/>
      <c r="C385" s="16" t="str">
        <f aca="false">IF(B385="","",IFERROR(AVERAGEIFS($B$5:$B$504,$A$5:$A$504,"&gt;="&amp;A385-6,$A$5:$A$504,"&lt;="&amp;A385),""))</f>
        <v/>
      </c>
      <c r="D385" s="17" t="str">
        <f aca="false">IF(OR(C385="",COUNTIFS($A$5:$A$504,"&gt;="&amp;A385-13,$A$5:$A$504,"&lt;="&amp;A385-7)=0),"",C385-AVERAGEIFS($B$5:$B$504,$A$5:$A$504,"&gt;="&amp;A385-13,$A$5:$A$504,"&lt;="&amp;A385-7))</f>
        <v/>
      </c>
      <c r="E385" s="18" t="str">
        <f aca="false">IF(D385="","",IF(AND(D385&gt;=0.2,D385&lt;=0.35),"On target — change nothing",IF(D385&lt;0.2,"Gaining too slowly — add 200 kcal to training days","Gaining too fast — cut 200 kcal from training days")))</f>
        <v/>
      </c>
    </row>
    <row r="386" customFormat="false" ht="15" hidden="false" customHeight="false" outlineLevel="0" collapsed="false">
      <c r="A386" s="19"/>
      <c r="B386" s="20"/>
      <c r="C386" s="16" t="str">
        <f aca="false">IF(B386="","",IFERROR(AVERAGEIFS($B$5:$B$504,$A$5:$A$504,"&gt;="&amp;A386-6,$A$5:$A$504,"&lt;="&amp;A386),""))</f>
        <v/>
      </c>
      <c r="D386" s="17" t="str">
        <f aca="false">IF(OR(C386="",COUNTIFS($A$5:$A$504,"&gt;="&amp;A386-13,$A$5:$A$504,"&lt;="&amp;A386-7)=0),"",C386-AVERAGEIFS($B$5:$B$504,$A$5:$A$504,"&gt;="&amp;A386-13,$A$5:$A$504,"&lt;="&amp;A386-7))</f>
        <v/>
      </c>
      <c r="E386" s="18" t="str">
        <f aca="false">IF(D386="","",IF(AND(D386&gt;=0.2,D386&lt;=0.35),"On target — change nothing",IF(D386&lt;0.2,"Gaining too slowly — add 200 kcal to training days","Gaining too fast — cut 200 kcal from training days")))</f>
        <v/>
      </c>
    </row>
    <row r="387" customFormat="false" ht="15" hidden="false" customHeight="false" outlineLevel="0" collapsed="false">
      <c r="A387" s="19"/>
      <c r="B387" s="20"/>
      <c r="C387" s="16" t="str">
        <f aca="false">IF(B387="","",IFERROR(AVERAGEIFS($B$5:$B$504,$A$5:$A$504,"&gt;="&amp;A387-6,$A$5:$A$504,"&lt;="&amp;A387),""))</f>
        <v/>
      </c>
      <c r="D387" s="17" t="str">
        <f aca="false">IF(OR(C387="",COUNTIFS($A$5:$A$504,"&gt;="&amp;A387-13,$A$5:$A$504,"&lt;="&amp;A387-7)=0),"",C387-AVERAGEIFS($B$5:$B$504,$A$5:$A$504,"&gt;="&amp;A387-13,$A$5:$A$504,"&lt;="&amp;A387-7))</f>
        <v/>
      </c>
      <c r="E387" s="18" t="str">
        <f aca="false">IF(D387="","",IF(AND(D387&gt;=0.2,D387&lt;=0.35),"On target — change nothing",IF(D387&lt;0.2,"Gaining too slowly — add 200 kcal to training days","Gaining too fast — cut 200 kcal from training days")))</f>
        <v/>
      </c>
    </row>
    <row r="388" customFormat="false" ht="15" hidden="false" customHeight="false" outlineLevel="0" collapsed="false">
      <c r="A388" s="19"/>
      <c r="B388" s="20"/>
      <c r="C388" s="16" t="str">
        <f aca="false">IF(B388="","",IFERROR(AVERAGEIFS($B$5:$B$504,$A$5:$A$504,"&gt;="&amp;A388-6,$A$5:$A$504,"&lt;="&amp;A388),""))</f>
        <v/>
      </c>
      <c r="D388" s="17" t="str">
        <f aca="false">IF(OR(C388="",COUNTIFS($A$5:$A$504,"&gt;="&amp;A388-13,$A$5:$A$504,"&lt;="&amp;A388-7)=0),"",C388-AVERAGEIFS($B$5:$B$504,$A$5:$A$504,"&gt;="&amp;A388-13,$A$5:$A$504,"&lt;="&amp;A388-7))</f>
        <v/>
      </c>
      <c r="E388" s="18" t="str">
        <f aca="false">IF(D388="","",IF(AND(D388&gt;=0.2,D388&lt;=0.35),"On target — change nothing",IF(D388&lt;0.2,"Gaining too slowly — add 200 kcal to training days","Gaining too fast — cut 200 kcal from training days")))</f>
        <v/>
      </c>
    </row>
    <row r="389" customFormat="false" ht="15" hidden="false" customHeight="false" outlineLevel="0" collapsed="false">
      <c r="A389" s="19"/>
      <c r="B389" s="20"/>
      <c r="C389" s="16" t="str">
        <f aca="false">IF(B389="","",IFERROR(AVERAGEIFS($B$5:$B$504,$A$5:$A$504,"&gt;="&amp;A389-6,$A$5:$A$504,"&lt;="&amp;A389),""))</f>
        <v/>
      </c>
      <c r="D389" s="17" t="str">
        <f aca="false">IF(OR(C389="",COUNTIFS($A$5:$A$504,"&gt;="&amp;A389-13,$A$5:$A$504,"&lt;="&amp;A389-7)=0),"",C389-AVERAGEIFS($B$5:$B$504,$A$5:$A$504,"&gt;="&amp;A389-13,$A$5:$A$504,"&lt;="&amp;A389-7))</f>
        <v/>
      </c>
      <c r="E389" s="18" t="str">
        <f aca="false">IF(D389="","",IF(AND(D389&gt;=0.2,D389&lt;=0.35),"On target — change nothing",IF(D389&lt;0.2,"Gaining too slowly — add 200 kcal to training days","Gaining too fast — cut 200 kcal from training days")))</f>
        <v/>
      </c>
    </row>
    <row r="390" customFormat="false" ht="15" hidden="false" customHeight="false" outlineLevel="0" collapsed="false">
      <c r="A390" s="19"/>
      <c r="B390" s="20"/>
      <c r="C390" s="16" t="str">
        <f aca="false">IF(B390="","",IFERROR(AVERAGEIFS($B$5:$B$504,$A$5:$A$504,"&gt;="&amp;A390-6,$A$5:$A$504,"&lt;="&amp;A390),""))</f>
        <v/>
      </c>
      <c r="D390" s="17" t="str">
        <f aca="false">IF(OR(C390="",COUNTIFS($A$5:$A$504,"&gt;="&amp;A390-13,$A$5:$A$504,"&lt;="&amp;A390-7)=0),"",C390-AVERAGEIFS($B$5:$B$504,$A$5:$A$504,"&gt;="&amp;A390-13,$A$5:$A$504,"&lt;="&amp;A390-7))</f>
        <v/>
      </c>
      <c r="E390" s="18" t="str">
        <f aca="false">IF(D390="","",IF(AND(D390&gt;=0.2,D390&lt;=0.35),"On target — change nothing",IF(D390&lt;0.2,"Gaining too slowly — add 200 kcal to training days","Gaining too fast — cut 200 kcal from training days")))</f>
        <v/>
      </c>
    </row>
    <row r="391" customFormat="false" ht="15" hidden="false" customHeight="false" outlineLevel="0" collapsed="false">
      <c r="A391" s="19"/>
      <c r="B391" s="20"/>
      <c r="C391" s="16" t="str">
        <f aca="false">IF(B391="","",IFERROR(AVERAGEIFS($B$5:$B$504,$A$5:$A$504,"&gt;="&amp;A391-6,$A$5:$A$504,"&lt;="&amp;A391),""))</f>
        <v/>
      </c>
      <c r="D391" s="17" t="str">
        <f aca="false">IF(OR(C391="",COUNTIFS($A$5:$A$504,"&gt;="&amp;A391-13,$A$5:$A$504,"&lt;="&amp;A391-7)=0),"",C391-AVERAGEIFS($B$5:$B$504,$A$5:$A$504,"&gt;="&amp;A391-13,$A$5:$A$504,"&lt;="&amp;A391-7))</f>
        <v/>
      </c>
      <c r="E391" s="18" t="str">
        <f aca="false">IF(D391="","",IF(AND(D391&gt;=0.2,D391&lt;=0.35),"On target — change nothing",IF(D391&lt;0.2,"Gaining too slowly — add 200 kcal to training days","Gaining too fast — cut 200 kcal from training days")))</f>
        <v/>
      </c>
    </row>
    <row r="392" customFormat="false" ht="15" hidden="false" customHeight="false" outlineLevel="0" collapsed="false">
      <c r="A392" s="19"/>
      <c r="B392" s="20"/>
      <c r="C392" s="16" t="str">
        <f aca="false">IF(B392="","",IFERROR(AVERAGEIFS($B$5:$B$504,$A$5:$A$504,"&gt;="&amp;A392-6,$A$5:$A$504,"&lt;="&amp;A392),""))</f>
        <v/>
      </c>
      <c r="D392" s="17" t="str">
        <f aca="false">IF(OR(C392="",COUNTIFS($A$5:$A$504,"&gt;="&amp;A392-13,$A$5:$A$504,"&lt;="&amp;A392-7)=0),"",C392-AVERAGEIFS($B$5:$B$504,$A$5:$A$504,"&gt;="&amp;A392-13,$A$5:$A$504,"&lt;="&amp;A392-7))</f>
        <v/>
      </c>
      <c r="E392" s="18" t="str">
        <f aca="false">IF(D392="","",IF(AND(D392&gt;=0.2,D392&lt;=0.35),"On target — change nothing",IF(D392&lt;0.2,"Gaining too slowly — add 200 kcal to training days","Gaining too fast — cut 200 kcal from training days")))</f>
        <v/>
      </c>
    </row>
    <row r="393" customFormat="false" ht="15" hidden="false" customHeight="false" outlineLevel="0" collapsed="false">
      <c r="A393" s="19"/>
      <c r="B393" s="20"/>
      <c r="C393" s="16" t="str">
        <f aca="false">IF(B393="","",IFERROR(AVERAGEIFS($B$5:$B$504,$A$5:$A$504,"&gt;="&amp;A393-6,$A$5:$A$504,"&lt;="&amp;A393),""))</f>
        <v/>
      </c>
      <c r="D393" s="17" t="str">
        <f aca="false">IF(OR(C393="",COUNTIFS($A$5:$A$504,"&gt;="&amp;A393-13,$A$5:$A$504,"&lt;="&amp;A393-7)=0),"",C393-AVERAGEIFS($B$5:$B$504,$A$5:$A$504,"&gt;="&amp;A393-13,$A$5:$A$504,"&lt;="&amp;A393-7))</f>
        <v/>
      </c>
      <c r="E393" s="18" t="str">
        <f aca="false">IF(D393="","",IF(AND(D393&gt;=0.2,D393&lt;=0.35),"On target — change nothing",IF(D393&lt;0.2,"Gaining too slowly — add 200 kcal to training days","Gaining too fast — cut 200 kcal from training days")))</f>
        <v/>
      </c>
    </row>
    <row r="394" customFormat="false" ht="15" hidden="false" customHeight="false" outlineLevel="0" collapsed="false">
      <c r="A394" s="19"/>
      <c r="B394" s="20"/>
      <c r="C394" s="16" t="str">
        <f aca="false">IF(B394="","",IFERROR(AVERAGEIFS($B$5:$B$504,$A$5:$A$504,"&gt;="&amp;A394-6,$A$5:$A$504,"&lt;="&amp;A394),""))</f>
        <v/>
      </c>
      <c r="D394" s="17" t="str">
        <f aca="false">IF(OR(C394="",COUNTIFS($A$5:$A$504,"&gt;="&amp;A394-13,$A$5:$A$504,"&lt;="&amp;A394-7)=0),"",C394-AVERAGEIFS($B$5:$B$504,$A$5:$A$504,"&gt;="&amp;A394-13,$A$5:$A$504,"&lt;="&amp;A394-7))</f>
        <v/>
      </c>
      <c r="E394" s="18" t="str">
        <f aca="false">IF(D394="","",IF(AND(D394&gt;=0.2,D394&lt;=0.35),"On target — change nothing",IF(D394&lt;0.2,"Gaining too slowly — add 200 kcal to training days","Gaining too fast — cut 200 kcal from training days")))</f>
        <v/>
      </c>
    </row>
    <row r="395" customFormat="false" ht="15" hidden="false" customHeight="false" outlineLevel="0" collapsed="false">
      <c r="A395" s="19"/>
      <c r="B395" s="20"/>
      <c r="C395" s="16" t="str">
        <f aca="false">IF(B395="","",IFERROR(AVERAGEIFS($B$5:$B$504,$A$5:$A$504,"&gt;="&amp;A395-6,$A$5:$A$504,"&lt;="&amp;A395),""))</f>
        <v/>
      </c>
      <c r="D395" s="17" t="str">
        <f aca="false">IF(OR(C395="",COUNTIFS($A$5:$A$504,"&gt;="&amp;A395-13,$A$5:$A$504,"&lt;="&amp;A395-7)=0),"",C395-AVERAGEIFS($B$5:$B$504,$A$5:$A$504,"&gt;="&amp;A395-13,$A$5:$A$504,"&lt;="&amp;A395-7))</f>
        <v/>
      </c>
      <c r="E395" s="18" t="str">
        <f aca="false">IF(D395="","",IF(AND(D395&gt;=0.2,D395&lt;=0.35),"On target — change nothing",IF(D395&lt;0.2,"Gaining too slowly — add 200 kcal to training days","Gaining too fast — cut 200 kcal from training days")))</f>
        <v/>
      </c>
    </row>
    <row r="396" customFormat="false" ht="15" hidden="false" customHeight="false" outlineLevel="0" collapsed="false">
      <c r="A396" s="19"/>
      <c r="B396" s="20"/>
      <c r="C396" s="16" t="str">
        <f aca="false">IF(B396="","",IFERROR(AVERAGEIFS($B$5:$B$504,$A$5:$A$504,"&gt;="&amp;A396-6,$A$5:$A$504,"&lt;="&amp;A396),""))</f>
        <v/>
      </c>
      <c r="D396" s="17" t="str">
        <f aca="false">IF(OR(C396="",COUNTIFS($A$5:$A$504,"&gt;="&amp;A396-13,$A$5:$A$504,"&lt;="&amp;A396-7)=0),"",C396-AVERAGEIFS($B$5:$B$504,$A$5:$A$504,"&gt;="&amp;A396-13,$A$5:$A$504,"&lt;="&amp;A396-7))</f>
        <v/>
      </c>
      <c r="E396" s="18" t="str">
        <f aca="false">IF(D396="","",IF(AND(D396&gt;=0.2,D396&lt;=0.35),"On target — change nothing",IF(D396&lt;0.2,"Gaining too slowly — add 200 kcal to training days","Gaining too fast — cut 200 kcal from training days")))</f>
        <v/>
      </c>
    </row>
    <row r="397" customFormat="false" ht="15" hidden="false" customHeight="false" outlineLevel="0" collapsed="false">
      <c r="A397" s="19"/>
      <c r="B397" s="20"/>
      <c r="C397" s="16" t="str">
        <f aca="false">IF(B397="","",IFERROR(AVERAGEIFS($B$5:$B$504,$A$5:$A$504,"&gt;="&amp;A397-6,$A$5:$A$504,"&lt;="&amp;A397),""))</f>
        <v/>
      </c>
      <c r="D397" s="17" t="str">
        <f aca="false">IF(OR(C397="",COUNTIFS($A$5:$A$504,"&gt;="&amp;A397-13,$A$5:$A$504,"&lt;="&amp;A397-7)=0),"",C397-AVERAGEIFS($B$5:$B$504,$A$5:$A$504,"&gt;="&amp;A397-13,$A$5:$A$504,"&lt;="&amp;A397-7))</f>
        <v/>
      </c>
      <c r="E397" s="18" t="str">
        <f aca="false">IF(D397="","",IF(AND(D397&gt;=0.2,D397&lt;=0.35),"On target — change nothing",IF(D397&lt;0.2,"Gaining too slowly — add 200 kcal to training days","Gaining too fast — cut 200 kcal from training days")))</f>
        <v/>
      </c>
    </row>
    <row r="398" customFormat="false" ht="15" hidden="false" customHeight="false" outlineLevel="0" collapsed="false">
      <c r="A398" s="19"/>
      <c r="B398" s="20"/>
      <c r="C398" s="16" t="str">
        <f aca="false">IF(B398="","",IFERROR(AVERAGEIFS($B$5:$B$504,$A$5:$A$504,"&gt;="&amp;A398-6,$A$5:$A$504,"&lt;="&amp;A398),""))</f>
        <v/>
      </c>
      <c r="D398" s="17" t="str">
        <f aca="false">IF(OR(C398="",COUNTIFS($A$5:$A$504,"&gt;="&amp;A398-13,$A$5:$A$504,"&lt;="&amp;A398-7)=0),"",C398-AVERAGEIFS($B$5:$B$504,$A$5:$A$504,"&gt;="&amp;A398-13,$A$5:$A$504,"&lt;="&amp;A398-7))</f>
        <v/>
      </c>
      <c r="E398" s="18" t="str">
        <f aca="false">IF(D398="","",IF(AND(D398&gt;=0.2,D398&lt;=0.35),"On target — change nothing",IF(D398&lt;0.2,"Gaining too slowly — add 200 kcal to training days","Gaining too fast — cut 200 kcal from training days")))</f>
        <v/>
      </c>
    </row>
    <row r="399" customFormat="false" ht="15" hidden="false" customHeight="false" outlineLevel="0" collapsed="false">
      <c r="A399" s="19"/>
      <c r="B399" s="20"/>
      <c r="C399" s="16" t="str">
        <f aca="false">IF(B399="","",IFERROR(AVERAGEIFS($B$5:$B$504,$A$5:$A$504,"&gt;="&amp;A399-6,$A$5:$A$504,"&lt;="&amp;A399),""))</f>
        <v/>
      </c>
      <c r="D399" s="17" t="str">
        <f aca="false">IF(OR(C399="",COUNTIFS($A$5:$A$504,"&gt;="&amp;A399-13,$A$5:$A$504,"&lt;="&amp;A399-7)=0),"",C399-AVERAGEIFS($B$5:$B$504,$A$5:$A$504,"&gt;="&amp;A399-13,$A$5:$A$504,"&lt;="&amp;A399-7))</f>
        <v/>
      </c>
      <c r="E399" s="18" t="str">
        <f aca="false">IF(D399="","",IF(AND(D399&gt;=0.2,D399&lt;=0.35),"On target — change nothing",IF(D399&lt;0.2,"Gaining too slowly — add 200 kcal to training days","Gaining too fast — cut 200 kcal from training days")))</f>
        <v/>
      </c>
    </row>
    <row r="400" customFormat="false" ht="15" hidden="false" customHeight="false" outlineLevel="0" collapsed="false">
      <c r="A400" s="19"/>
      <c r="B400" s="20"/>
      <c r="C400" s="16" t="str">
        <f aca="false">IF(B400="","",IFERROR(AVERAGEIFS($B$5:$B$504,$A$5:$A$504,"&gt;="&amp;A400-6,$A$5:$A$504,"&lt;="&amp;A400),""))</f>
        <v/>
      </c>
      <c r="D400" s="17" t="str">
        <f aca="false">IF(OR(C400="",COUNTIFS($A$5:$A$504,"&gt;="&amp;A400-13,$A$5:$A$504,"&lt;="&amp;A400-7)=0),"",C400-AVERAGEIFS($B$5:$B$504,$A$5:$A$504,"&gt;="&amp;A400-13,$A$5:$A$504,"&lt;="&amp;A400-7))</f>
        <v/>
      </c>
      <c r="E400" s="18" t="str">
        <f aca="false">IF(D400="","",IF(AND(D400&gt;=0.2,D400&lt;=0.35),"On target — change nothing",IF(D400&lt;0.2,"Gaining too slowly — add 200 kcal to training days","Gaining too fast — cut 200 kcal from training days")))</f>
        <v/>
      </c>
    </row>
    <row r="401" customFormat="false" ht="15" hidden="false" customHeight="false" outlineLevel="0" collapsed="false">
      <c r="A401" s="19"/>
      <c r="B401" s="20"/>
      <c r="C401" s="16" t="str">
        <f aca="false">IF(B401="","",IFERROR(AVERAGEIFS($B$5:$B$504,$A$5:$A$504,"&gt;="&amp;A401-6,$A$5:$A$504,"&lt;="&amp;A401),""))</f>
        <v/>
      </c>
      <c r="D401" s="17" t="str">
        <f aca="false">IF(OR(C401="",COUNTIFS($A$5:$A$504,"&gt;="&amp;A401-13,$A$5:$A$504,"&lt;="&amp;A401-7)=0),"",C401-AVERAGEIFS($B$5:$B$504,$A$5:$A$504,"&gt;="&amp;A401-13,$A$5:$A$504,"&lt;="&amp;A401-7))</f>
        <v/>
      </c>
      <c r="E401" s="18" t="str">
        <f aca="false">IF(D401="","",IF(AND(D401&gt;=0.2,D401&lt;=0.35),"On target — change nothing",IF(D401&lt;0.2,"Gaining too slowly — add 200 kcal to training days","Gaining too fast — cut 200 kcal from training days")))</f>
        <v/>
      </c>
    </row>
    <row r="402" customFormat="false" ht="15" hidden="false" customHeight="false" outlineLevel="0" collapsed="false">
      <c r="A402" s="19"/>
      <c r="B402" s="20"/>
      <c r="C402" s="16" t="str">
        <f aca="false">IF(B402="","",IFERROR(AVERAGEIFS($B$5:$B$504,$A$5:$A$504,"&gt;="&amp;A402-6,$A$5:$A$504,"&lt;="&amp;A402),""))</f>
        <v/>
      </c>
      <c r="D402" s="17" t="str">
        <f aca="false">IF(OR(C402="",COUNTIFS($A$5:$A$504,"&gt;="&amp;A402-13,$A$5:$A$504,"&lt;="&amp;A402-7)=0),"",C402-AVERAGEIFS($B$5:$B$504,$A$5:$A$504,"&gt;="&amp;A402-13,$A$5:$A$504,"&lt;="&amp;A402-7))</f>
        <v/>
      </c>
      <c r="E402" s="18" t="str">
        <f aca="false">IF(D402="","",IF(AND(D402&gt;=0.2,D402&lt;=0.35),"On target — change nothing",IF(D402&lt;0.2,"Gaining too slowly — add 200 kcal to training days","Gaining too fast — cut 200 kcal from training days")))</f>
        <v/>
      </c>
    </row>
    <row r="403" customFormat="false" ht="15" hidden="false" customHeight="false" outlineLevel="0" collapsed="false">
      <c r="A403" s="19"/>
      <c r="B403" s="20"/>
      <c r="C403" s="16" t="str">
        <f aca="false">IF(B403="","",IFERROR(AVERAGEIFS($B$5:$B$504,$A$5:$A$504,"&gt;="&amp;A403-6,$A$5:$A$504,"&lt;="&amp;A403),""))</f>
        <v/>
      </c>
      <c r="D403" s="17" t="str">
        <f aca="false">IF(OR(C403="",COUNTIFS($A$5:$A$504,"&gt;="&amp;A403-13,$A$5:$A$504,"&lt;="&amp;A403-7)=0),"",C403-AVERAGEIFS($B$5:$B$504,$A$5:$A$504,"&gt;="&amp;A403-13,$A$5:$A$504,"&lt;="&amp;A403-7))</f>
        <v/>
      </c>
      <c r="E403" s="18" t="str">
        <f aca="false">IF(D403="","",IF(AND(D403&gt;=0.2,D403&lt;=0.35),"On target — change nothing",IF(D403&lt;0.2,"Gaining too slowly — add 200 kcal to training days","Gaining too fast — cut 200 kcal from training days")))</f>
        <v/>
      </c>
    </row>
    <row r="404" customFormat="false" ht="15" hidden="false" customHeight="false" outlineLevel="0" collapsed="false">
      <c r="A404" s="19"/>
      <c r="B404" s="20"/>
      <c r="C404" s="16" t="str">
        <f aca="false">IF(B404="","",IFERROR(AVERAGEIFS($B$5:$B$504,$A$5:$A$504,"&gt;="&amp;A404-6,$A$5:$A$504,"&lt;="&amp;A404),""))</f>
        <v/>
      </c>
      <c r="D404" s="17" t="str">
        <f aca="false">IF(OR(C404="",COUNTIFS($A$5:$A$504,"&gt;="&amp;A404-13,$A$5:$A$504,"&lt;="&amp;A404-7)=0),"",C404-AVERAGEIFS($B$5:$B$504,$A$5:$A$504,"&gt;="&amp;A404-13,$A$5:$A$504,"&lt;="&amp;A404-7))</f>
        <v/>
      </c>
      <c r="E404" s="18" t="str">
        <f aca="false">IF(D404="","",IF(AND(D404&gt;=0.2,D404&lt;=0.35),"On target — change nothing",IF(D404&lt;0.2,"Gaining too slowly — add 200 kcal to training days","Gaining too fast — cut 200 kcal from training days")))</f>
        <v/>
      </c>
    </row>
    <row r="405" customFormat="false" ht="15" hidden="false" customHeight="false" outlineLevel="0" collapsed="false">
      <c r="A405" s="19"/>
      <c r="B405" s="20"/>
      <c r="C405" s="16" t="str">
        <f aca="false">IF(B405="","",IFERROR(AVERAGEIFS($B$5:$B$504,$A$5:$A$504,"&gt;="&amp;A405-6,$A$5:$A$504,"&lt;="&amp;A405),""))</f>
        <v/>
      </c>
      <c r="D405" s="17" t="str">
        <f aca="false">IF(OR(C405="",COUNTIFS($A$5:$A$504,"&gt;="&amp;A405-13,$A$5:$A$504,"&lt;="&amp;A405-7)=0),"",C405-AVERAGEIFS($B$5:$B$504,$A$5:$A$504,"&gt;="&amp;A405-13,$A$5:$A$504,"&lt;="&amp;A405-7))</f>
        <v/>
      </c>
      <c r="E405" s="18" t="str">
        <f aca="false">IF(D405="","",IF(AND(D405&gt;=0.2,D405&lt;=0.35),"On target — change nothing",IF(D405&lt;0.2,"Gaining too slowly — add 200 kcal to training days","Gaining too fast — cut 200 kcal from training days")))</f>
        <v/>
      </c>
    </row>
    <row r="406" customFormat="false" ht="15" hidden="false" customHeight="false" outlineLevel="0" collapsed="false">
      <c r="A406" s="19"/>
      <c r="B406" s="20"/>
      <c r="C406" s="16" t="str">
        <f aca="false">IF(B406="","",IFERROR(AVERAGEIFS($B$5:$B$504,$A$5:$A$504,"&gt;="&amp;A406-6,$A$5:$A$504,"&lt;="&amp;A406),""))</f>
        <v/>
      </c>
      <c r="D406" s="17" t="str">
        <f aca="false">IF(OR(C406="",COUNTIFS($A$5:$A$504,"&gt;="&amp;A406-13,$A$5:$A$504,"&lt;="&amp;A406-7)=0),"",C406-AVERAGEIFS($B$5:$B$504,$A$5:$A$504,"&gt;="&amp;A406-13,$A$5:$A$504,"&lt;="&amp;A406-7))</f>
        <v/>
      </c>
      <c r="E406" s="18" t="str">
        <f aca="false">IF(D406="","",IF(AND(D406&gt;=0.2,D406&lt;=0.35),"On target — change nothing",IF(D406&lt;0.2,"Gaining too slowly — add 200 kcal to training days","Gaining too fast — cut 200 kcal from training days")))</f>
        <v/>
      </c>
    </row>
    <row r="407" customFormat="false" ht="15" hidden="false" customHeight="false" outlineLevel="0" collapsed="false">
      <c r="A407" s="19"/>
      <c r="B407" s="20"/>
      <c r="C407" s="16" t="str">
        <f aca="false">IF(B407="","",IFERROR(AVERAGEIFS($B$5:$B$504,$A$5:$A$504,"&gt;="&amp;A407-6,$A$5:$A$504,"&lt;="&amp;A407),""))</f>
        <v/>
      </c>
      <c r="D407" s="17" t="str">
        <f aca="false">IF(OR(C407="",COUNTIFS($A$5:$A$504,"&gt;="&amp;A407-13,$A$5:$A$504,"&lt;="&amp;A407-7)=0),"",C407-AVERAGEIFS($B$5:$B$504,$A$5:$A$504,"&gt;="&amp;A407-13,$A$5:$A$504,"&lt;="&amp;A407-7))</f>
        <v/>
      </c>
      <c r="E407" s="18" t="str">
        <f aca="false">IF(D407="","",IF(AND(D407&gt;=0.2,D407&lt;=0.35),"On target — change nothing",IF(D407&lt;0.2,"Gaining too slowly — add 200 kcal to training days","Gaining too fast — cut 200 kcal from training days")))</f>
        <v/>
      </c>
    </row>
    <row r="408" customFormat="false" ht="15" hidden="false" customHeight="false" outlineLevel="0" collapsed="false">
      <c r="A408" s="19"/>
      <c r="B408" s="20"/>
      <c r="C408" s="16" t="str">
        <f aca="false">IF(B408="","",IFERROR(AVERAGEIFS($B$5:$B$504,$A$5:$A$504,"&gt;="&amp;A408-6,$A$5:$A$504,"&lt;="&amp;A408),""))</f>
        <v/>
      </c>
      <c r="D408" s="17" t="str">
        <f aca="false">IF(OR(C408="",COUNTIFS($A$5:$A$504,"&gt;="&amp;A408-13,$A$5:$A$504,"&lt;="&amp;A408-7)=0),"",C408-AVERAGEIFS($B$5:$B$504,$A$5:$A$504,"&gt;="&amp;A408-13,$A$5:$A$504,"&lt;="&amp;A408-7))</f>
        <v/>
      </c>
      <c r="E408" s="18" t="str">
        <f aca="false">IF(D408="","",IF(AND(D408&gt;=0.2,D408&lt;=0.35),"On target — change nothing",IF(D408&lt;0.2,"Gaining too slowly — add 200 kcal to training days","Gaining too fast — cut 200 kcal from training days")))</f>
        <v/>
      </c>
    </row>
    <row r="409" customFormat="false" ht="15" hidden="false" customHeight="false" outlineLevel="0" collapsed="false">
      <c r="A409" s="19"/>
      <c r="B409" s="20"/>
      <c r="C409" s="16" t="str">
        <f aca="false">IF(B409="","",IFERROR(AVERAGEIFS($B$5:$B$504,$A$5:$A$504,"&gt;="&amp;A409-6,$A$5:$A$504,"&lt;="&amp;A409),""))</f>
        <v/>
      </c>
      <c r="D409" s="17" t="str">
        <f aca="false">IF(OR(C409="",COUNTIFS($A$5:$A$504,"&gt;="&amp;A409-13,$A$5:$A$504,"&lt;="&amp;A409-7)=0),"",C409-AVERAGEIFS($B$5:$B$504,$A$5:$A$504,"&gt;="&amp;A409-13,$A$5:$A$504,"&lt;="&amp;A409-7))</f>
        <v/>
      </c>
      <c r="E409" s="18" t="str">
        <f aca="false">IF(D409="","",IF(AND(D409&gt;=0.2,D409&lt;=0.35),"On target — change nothing",IF(D409&lt;0.2,"Gaining too slowly — add 200 kcal to training days","Gaining too fast — cut 200 kcal from training days")))</f>
        <v/>
      </c>
    </row>
    <row r="410" customFormat="false" ht="15" hidden="false" customHeight="false" outlineLevel="0" collapsed="false">
      <c r="A410" s="19"/>
      <c r="B410" s="20"/>
      <c r="C410" s="16" t="str">
        <f aca="false">IF(B410="","",IFERROR(AVERAGEIFS($B$5:$B$504,$A$5:$A$504,"&gt;="&amp;A410-6,$A$5:$A$504,"&lt;="&amp;A410),""))</f>
        <v/>
      </c>
      <c r="D410" s="17" t="str">
        <f aca="false">IF(OR(C410="",COUNTIFS($A$5:$A$504,"&gt;="&amp;A410-13,$A$5:$A$504,"&lt;="&amp;A410-7)=0),"",C410-AVERAGEIFS($B$5:$B$504,$A$5:$A$504,"&gt;="&amp;A410-13,$A$5:$A$504,"&lt;="&amp;A410-7))</f>
        <v/>
      </c>
      <c r="E410" s="18" t="str">
        <f aca="false">IF(D410="","",IF(AND(D410&gt;=0.2,D410&lt;=0.35),"On target — change nothing",IF(D410&lt;0.2,"Gaining too slowly — add 200 kcal to training days","Gaining too fast — cut 200 kcal from training days")))</f>
        <v/>
      </c>
    </row>
    <row r="411" customFormat="false" ht="15" hidden="false" customHeight="false" outlineLevel="0" collapsed="false">
      <c r="A411" s="19"/>
      <c r="B411" s="20"/>
      <c r="C411" s="16" t="str">
        <f aca="false">IF(B411="","",IFERROR(AVERAGEIFS($B$5:$B$504,$A$5:$A$504,"&gt;="&amp;A411-6,$A$5:$A$504,"&lt;="&amp;A411),""))</f>
        <v/>
      </c>
      <c r="D411" s="17" t="str">
        <f aca="false">IF(OR(C411="",COUNTIFS($A$5:$A$504,"&gt;="&amp;A411-13,$A$5:$A$504,"&lt;="&amp;A411-7)=0),"",C411-AVERAGEIFS($B$5:$B$504,$A$5:$A$504,"&gt;="&amp;A411-13,$A$5:$A$504,"&lt;="&amp;A411-7))</f>
        <v/>
      </c>
      <c r="E411" s="18" t="str">
        <f aca="false">IF(D411="","",IF(AND(D411&gt;=0.2,D411&lt;=0.35),"On target — change nothing",IF(D411&lt;0.2,"Gaining too slowly — add 200 kcal to training days","Gaining too fast — cut 200 kcal from training days")))</f>
        <v/>
      </c>
    </row>
    <row r="412" customFormat="false" ht="15" hidden="false" customHeight="false" outlineLevel="0" collapsed="false">
      <c r="A412" s="19"/>
      <c r="B412" s="20"/>
      <c r="C412" s="16" t="str">
        <f aca="false">IF(B412="","",IFERROR(AVERAGEIFS($B$5:$B$504,$A$5:$A$504,"&gt;="&amp;A412-6,$A$5:$A$504,"&lt;="&amp;A412),""))</f>
        <v/>
      </c>
      <c r="D412" s="17" t="str">
        <f aca="false">IF(OR(C412="",COUNTIFS($A$5:$A$504,"&gt;="&amp;A412-13,$A$5:$A$504,"&lt;="&amp;A412-7)=0),"",C412-AVERAGEIFS($B$5:$B$504,$A$5:$A$504,"&gt;="&amp;A412-13,$A$5:$A$504,"&lt;="&amp;A412-7))</f>
        <v/>
      </c>
      <c r="E412" s="18" t="str">
        <f aca="false">IF(D412="","",IF(AND(D412&gt;=0.2,D412&lt;=0.35),"On target — change nothing",IF(D412&lt;0.2,"Gaining too slowly — add 200 kcal to training days","Gaining too fast — cut 200 kcal from training days")))</f>
        <v/>
      </c>
    </row>
    <row r="413" customFormat="false" ht="15" hidden="false" customHeight="false" outlineLevel="0" collapsed="false">
      <c r="A413" s="19"/>
      <c r="B413" s="20"/>
      <c r="C413" s="16" t="str">
        <f aca="false">IF(B413="","",IFERROR(AVERAGEIFS($B$5:$B$504,$A$5:$A$504,"&gt;="&amp;A413-6,$A$5:$A$504,"&lt;="&amp;A413),""))</f>
        <v/>
      </c>
      <c r="D413" s="17" t="str">
        <f aca="false">IF(OR(C413="",COUNTIFS($A$5:$A$504,"&gt;="&amp;A413-13,$A$5:$A$504,"&lt;="&amp;A413-7)=0),"",C413-AVERAGEIFS($B$5:$B$504,$A$5:$A$504,"&gt;="&amp;A413-13,$A$5:$A$504,"&lt;="&amp;A413-7))</f>
        <v/>
      </c>
      <c r="E413" s="18" t="str">
        <f aca="false">IF(D413="","",IF(AND(D413&gt;=0.2,D413&lt;=0.35),"On target — change nothing",IF(D413&lt;0.2,"Gaining too slowly — add 200 kcal to training days","Gaining too fast — cut 200 kcal from training days")))</f>
        <v/>
      </c>
    </row>
    <row r="414" customFormat="false" ht="15" hidden="false" customHeight="false" outlineLevel="0" collapsed="false">
      <c r="A414" s="19"/>
      <c r="B414" s="20"/>
      <c r="C414" s="16" t="str">
        <f aca="false">IF(B414="","",IFERROR(AVERAGEIFS($B$5:$B$504,$A$5:$A$504,"&gt;="&amp;A414-6,$A$5:$A$504,"&lt;="&amp;A414),""))</f>
        <v/>
      </c>
      <c r="D414" s="17" t="str">
        <f aca="false">IF(OR(C414="",COUNTIFS($A$5:$A$504,"&gt;="&amp;A414-13,$A$5:$A$504,"&lt;="&amp;A414-7)=0),"",C414-AVERAGEIFS($B$5:$B$504,$A$5:$A$504,"&gt;="&amp;A414-13,$A$5:$A$504,"&lt;="&amp;A414-7))</f>
        <v/>
      </c>
      <c r="E414" s="18" t="str">
        <f aca="false">IF(D414="","",IF(AND(D414&gt;=0.2,D414&lt;=0.35),"On target — change nothing",IF(D414&lt;0.2,"Gaining too slowly — add 200 kcal to training days","Gaining too fast — cut 200 kcal from training days")))</f>
        <v/>
      </c>
    </row>
    <row r="415" customFormat="false" ht="15" hidden="false" customHeight="false" outlineLevel="0" collapsed="false">
      <c r="A415" s="19"/>
      <c r="B415" s="20"/>
      <c r="C415" s="16" t="str">
        <f aca="false">IF(B415="","",IFERROR(AVERAGEIFS($B$5:$B$504,$A$5:$A$504,"&gt;="&amp;A415-6,$A$5:$A$504,"&lt;="&amp;A415),""))</f>
        <v/>
      </c>
      <c r="D415" s="17" t="str">
        <f aca="false">IF(OR(C415="",COUNTIFS($A$5:$A$504,"&gt;="&amp;A415-13,$A$5:$A$504,"&lt;="&amp;A415-7)=0),"",C415-AVERAGEIFS($B$5:$B$504,$A$5:$A$504,"&gt;="&amp;A415-13,$A$5:$A$504,"&lt;="&amp;A415-7))</f>
        <v/>
      </c>
      <c r="E415" s="18" t="str">
        <f aca="false">IF(D415="","",IF(AND(D415&gt;=0.2,D415&lt;=0.35),"On target — change nothing",IF(D415&lt;0.2,"Gaining too slowly — add 200 kcal to training days","Gaining too fast — cut 200 kcal from training days")))</f>
        <v/>
      </c>
    </row>
    <row r="416" customFormat="false" ht="15" hidden="false" customHeight="false" outlineLevel="0" collapsed="false">
      <c r="A416" s="19"/>
      <c r="B416" s="20"/>
      <c r="C416" s="16" t="str">
        <f aca="false">IF(B416="","",IFERROR(AVERAGEIFS($B$5:$B$504,$A$5:$A$504,"&gt;="&amp;A416-6,$A$5:$A$504,"&lt;="&amp;A416),""))</f>
        <v/>
      </c>
      <c r="D416" s="17" t="str">
        <f aca="false">IF(OR(C416="",COUNTIFS($A$5:$A$504,"&gt;="&amp;A416-13,$A$5:$A$504,"&lt;="&amp;A416-7)=0),"",C416-AVERAGEIFS($B$5:$B$504,$A$5:$A$504,"&gt;="&amp;A416-13,$A$5:$A$504,"&lt;="&amp;A416-7))</f>
        <v/>
      </c>
      <c r="E416" s="18" t="str">
        <f aca="false">IF(D416="","",IF(AND(D416&gt;=0.2,D416&lt;=0.35),"On target — change nothing",IF(D416&lt;0.2,"Gaining too slowly — add 200 kcal to training days","Gaining too fast — cut 200 kcal from training days")))</f>
        <v/>
      </c>
    </row>
    <row r="417" customFormat="false" ht="15" hidden="false" customHeight="false" outlineLevel="0" collapsed="false">
      <c r="A417" s="19"/>
      <c r="B417" s="20"/>
      <c r="C417" s="16" t="str">
        <f aca="false">IF(B417="","",IFERROR(AVERAGEIFS($B$5:$B$504,$A$5:$A$504,"&gt;="&amp;A417-6,$A$5:$A$504,"&lt;="&amp;A417),""))</f>
        <v/>
      </c>
      <c r="D417" s="17" t="str">
        <f aca="false">IF(OR(C417="",COUNTIFS($A$5:$A$504,"&gt;="&amp;A417-13,$A$5:$A$504,"&lt;="&amp;A417-7)=0),"",C417-AVERAGEIFS($B$5:$B$504,$A$5:$A$504,"&gt;="&amp;A417-13,$A$5:$A$504,"&lt;="&amp;A417-7))</f>
        <v/>
      </c>
      <c r="E417" s="18" t="str">
        <f aca="false">IF(D417="","",IF(AND(D417&gt;=0.2,D417&lt;=0.35),"On target — change nothing",IF(D417&lt;0.2,"Gaining too slowly — add 200 kcal to training days","Gaining too fast — cut 200 kcal from training days")))</f>
        <v/>
      </c>
    </row>
    <row r="418" customFormat="false" ht="15" hidden="false" customHeight="false" outlineLevel="0" collapsed="false">
      <c r="A418" s="19"/>
      <c r="B418" s="20"/>
      <c r="C418" s="16" t="str">
        <f aca="false">IF(B418="","",IFERROR(AVERAGEIFS($B$5:$B$504,$A$5:$A$504,"&gt;="&amp;A418-6,$A$5:$A$504,"&lt;="&amp;A418),""))</f>
        <v/>
      </c>
      <c r="D418" s="17" t="str">
        <f aca="false">IF(OR(C418="",COUNTIFS($A$5:$A$504,"&gt;="&amp;A418-13,$A$5:$A$504,"&lt;="&amp;A418-7)=0),"",C418-AVERAGEIFS($B$5:$B$504,$A$5:$A$504,"&gt;="&amp;A418-13,$A$5:$A$504,"&lt;="&amp;A418-7))</f>
        <v/>
      </c>
      <c r="E418" s="18" t="str">
        <f aca="false">IF(D418="","",IF(AND(D418&gt;=0.2,D418&lt;=0.35),"On target — change nothing",IF(D418&lt;0.2,"Gaining too slowly — add 200 kcal to training days","Gaining too fast — cut 200 kcal from training days")))</f>
        <v/>
      </c>
    </row>
    <row r="419" customFormat="false" ht="15" hidden="false" customHeight="false" outlineLevel="0" collapsed="false">
      <c r="A419" s="19"/>
      <c r="B419" s="20"/>
      <c r="C419" s="16" t="str">
        <f aca="false">IF(B419="","",IFERROR(AVERAGEIFS($B$5:$B$504,$A$5:$A$504,"&gt;="&amp;A419-6,$A$5:$A$504,"&lt;="&amp;A419),""))</f>
        <v/>
      </c>
      <c r="D419" s="17" t="str">
        <f aca="false">IF(OR(C419="",COUNTIFS($A$5:$A$504,"&gt;="&amp;A419-13,$A$5:$A$504,"&lt;="&amp;A419-7)=0),"",C419-AVERAGEIFS($B$5:$B$504,$A$5:$A$504,"&gt;="&amp;A419-13,$A$5:$A$504,"&lt;="&amp;A419-7))</f>
        <v/>
      </c>
      <c r="E419" s="18" t="str">
        <f aca="false">IF(D419="","",IF(AND(D419&gt;=0.2,D419&lt;=0.35),"On target — change nothing",IF(D419&lt;0.2,"Gaining too slowly — add 200 kcal to training days","Gaining too fast — cut 200 kcal from training days")))</f>
        <v/>
      </c>
    </row>
    <row r="420" customFormat="false" ht="15" hidden="false" customHeight="false" outlineLevel="0" collapsed="false">
      <c r="A420" s="19"/>
      <c r="B420" s="20"/>
      <c r="C420" s="16" t="str">
        <f aca="false">IF(B420="","",IFERROR(AVERAGEIFS($B$5:$B$504,$A$5:$A$504,"&gt;="&amp;A420-6,$A$5:$A$504,"&lt;="&amp;A420),""))</f>
        <v/>
      </c>
      <c r="D420" s="17" t="str">
        <f aca="false">IF(OR(C420="",COUNTIFS($A$5:$A$504,"&gt;="&amp;A420-13,$A$5:$A$504,"&lt;="&amp;A420-7)=0),"",C420-AVERAGEIFS($B$5:$B$504,$A$5:$A$504,"&gt;="&amp;A420-13,$A$5:$A$504,"&lt;="&amp;A420-7))</f>
        <v/>
      </c>
      <c r="E420" s="18" t="str">
        <f aca="false">IF(D420="","",IF(AND(D420&gt;=0.2,D420&lt;=0.35),"On target — change nothing",IF(D420&lt;0.2,"Gaining too slowly — add 200 kcal to training days","Gaining too fast — cut 200 kcal from training days")))</f>
        <v/>
      </c>
    </row>
    <row r="421" customFormat="false" ht="15" hidden="false" customHeight="false" outlineLevel="0" collapsed="false">
      <c r="A421" s="19"/>
      <c r="B421" s="20"/>
      <c r="C421" s="16" t="str">
        <f aca="false">IF(B421="","",IFERROR(AVERAGEIFS($B$5:$B$504,$A$5:$A$504,"&gt;="&amp;A421-6,$A$5:$A$504,"&lt;="&amp;A421),""))</f>
        <v/>
      </c>
      <c r="D421" s="17" t="str">
        <f aca="false">IF(OR(C421="",COUNTIFS($A$5:$A$504,"&gt;="&amp;A421-13,$A$5:$A$504,"&lt;="&amp;A421-7)=0),"",C421-AVERAGEIFS($B$5:$B$504,$A$5:$A$504,"&gt;="&amp;A421-13,$A$5:$A$504,"&lt;="&amp;A421-7))</f>
        <v/>
      </c>
      <c r="E421" s="18" t="str">
        <f aca="false">IF(D421="","",IF(AND(D421&gt;=0.2,D421&lt;=0.35),"On target — change nothing",IF(D421&lt;0.2,"Gaining too slowly — add 200 kcal to training days","Gaining too fast — cut 200 kcal from training days")))</f>
        <v/>
      </c>
    </row>
    <row r="422" customFormat="false" ht="15" hidden="false" customHeight="false" outlineLevel="0" collapsed="false">
      <c r="A422" s="19"/>
      <c r="B422" s="20"/>
      <c r="C422" s="16" t="str">
        <f aca="false">IF(B422="","",IFERROR(AVERAGEIFS($B$5:$B$504,$A$5:$A$504,"&gt;="&amp;A422-6,$A$5:$A$504,"&lt;="&amp;A422),""))</f>
        <v/>
      </c>
      <c r="D422" s="17" t="str">
        <f aca="false">IF(OR(C422="",COUNTIFS($A$5:$A$504,"&gt;="&amp;A422-13,$A$5:$A$504,"&lt;="&amp;A422-7)=0),"",C422-AVERAGEIFS($B$5:$B$504,$A$5:$A$504,"&gt;="&amp;A422-13,$A$5:$A$504,"&lt;="&amp;A422-7))</f>
        <v/>
      </c>
      <c r="E422" s="18" t="str">
        <f aca="false">IF(D422="","",IF(AND(D422&gt;=0.2,D422&lt;=0.35),"On target — change nothing",IF(D422&lt;0.2,"Gaining too slowly — add 200 kcal to training days","Gaining too fast — cut 200 kcal from training days")))</f>
        <v/>
      </c>
    </row>
    <row r="423" customFormat="false" ht="15" hidden="false" customHeight="false" outlineLevel="0" collapsed="false">
      <c r="A423" s="19"/>
      <c r="B423" s="20"/>
      <c r="C423" s="16" t="str">
        <f aca="false">IF(B423="","",IFERROR(AVERAGEIFS($B$5:$B$504,$A$5:$A$504,"&gt;="&amp;A423-6,$A$5:$A$504,"&lt;="&amp;A423),""))</f>
        <v/>
      </c>
      <c r="D423" s="17" t="str">
        <f aca="false">IF(OR(C423="",COUNTIFS($A$5:$A$504,"&gt;="&amp;A423-13,$A$5:$A$504,"&lt;="&amp;A423-7)=0),"",C423-AVERAGEIFS($B$5:$B$504,$A$5:$A$504,"&gt;="&amp;A423-13,$A$5:$A$504,"&lt;="&amp;A423-7))</f>
        <v/>
      </c>
      <c r="E423" s="18" t="str">
        <f aca="false">IF(D423="","",IF(AND(D423&gt;=0.2,D423&lt;=0.35),"On target — change nothing",IF(D423&lt;0.2,"Gaining too slowly — add 200 kcal to training days","Gaining too fast — cut 200 kcal from training days")))</f>
        <v/>
      </c>
    </row>
    <row r="424" customFormat="false" ht="15" hidden="false" customHeight="false" outlineLevel="0" collapsed="false">
      <c r="A424" s="19"/>
      <c r="B424" s="20"/>
      <c r="C424" s="16" t="str">
        <f aca="false">IF(B424="","",IFERROR(AVERAGEIFS($B$5:$B$504,$A$5:$A$504,"&gt;="&amp;A424-6,$A$5:$A$504,"&lt;="&amp;A424),""))</f>
        <v/>
      </c>
      <c r="D424" s="17" t="str">
        <f aca="false">IF(OR(C424="",COUNTIFS($A$5:$A$504,"&gt;="&amp;A424-13,$A$5:$A$504,"&lt;="&amp;A424-7)=0),"",C424-AVERAGEIFS($B$5:$B$504,$A$5:$A$504,"&gt;="&amp;A424-13,$A$5:$A$504,"&lt;="&amp;A424-7))</f>
        <v/>
      </c>
      <c r="E424" s="18" t="str">
        <f aca="false">IF(D424="","",IF(AND(D424&gt;=0.2,D424&lt;=0.35),"On target — change nothing",IF(D424&lt;0.2,"Gaining too slowly — add 200 kcal to training days","Gaining too fast — cut 200 kcal from training days")))</f>
        <v/>
      </c>
    </row>
    <row r="425" customFormat="false" ht="15" hidden="false" customHeight="false" outlineLevel="0" collapsed="false">
      <c r="A425" s="19"/>
      <c r="B425" s="20"/>
      <c r="C425" s="16" t="str">
        <f aca="false">IF(B425="","",IFERROR(AVERAGEIFS($B$5:$B$504,$A$5:$A$504,"&gt;="&amp;A425-6,$A$5:$A$504,"&lt;="&amp;A425),""))</f>
        <v/>
      </c>
      <c r="D425" s="17" t="str">
        <f aca="false">IF(OR(C425="",COUNTIFS($A$5:$A$504,"&gt;="&amp;A425-13,$A$5:$A$504,"&lt;="&amp;A425-7)=0),"",C425-AVERAGEIFS($B$5:$B$504,$A$5:$A$504,"&gt;="&amp;A425-13,$A$5:$A$504,"&lt;="&amp;A425-7))</f>
        <v/>
      </c>
      <c r="E425" s="18" t="str">
        <f aca="false">IF(D425="","",IF(AND(D425&gt;=0.2,D425&lt;=0.35),"On target — change nothing",IF(D425&lt;0.2,"Gaining too slowly — add 200 kcal to training days","Gaining too fast — cut 200 kcal from training days")))</f>
        <v/>
      </c>
    </row>
    <row r="426" customFormat="false" ht="15" hidden="false" customHeight="false" outlineLevel="0" collapsed="false">
      <c r="A426" s="19"/>
      <c r="B426" s="20"/>
      <c r="C426" s="16" t="str">
        <f aca="false">IF(B426="","",IFERROR(AVERAGEIFS($B$5:$B$504,$A$5:$A$504,"&gt;="&amp;A426-6,$A$5:$A$504,"&lt;="&amp;A426),""))</f>
        <v/>
      </c>
      <c r="D426" s="17" t="str">
        <f aca="false">IF(OR(C426="",COUNTIFS($A$5:$A$504,"&gt;="&amp;A426-13,$A$5:$A$504,"&lt;="&amp;A426-7)=0),"",C426-AVERAGEIFS($B$5:$B$504,$A$5:$A$504,"&gt;="&amp;A426-13,$A$5:$A$504,"&lt;="&amp;A426-7))</f>
        <v/>
      </c>
      <c r="E426" s="18" t="str">
        <f aca="false">IF(D426="","",IF(AND(D426&gt;=0.2,D426&lt;=0.35),"On target — change nothing",IF(D426&lt;0.2,"Gaining too slowly — add 200 kcal to training days","Gaining too fast — cut 200 kcal from training days")))</f>
        <v/>
      </c>
    </row>
    <row r="427" customFormat="false" ht="15" hidden="false" customHeight="false" outlineLevel="0" collapsed="false">
      <c r="A427" s="19"/>
      <c r="B427" s="20"/>
      <c r="C427" s="16" t="str">
        <f aca="false">IF(B427="","",IFERROR(AVERAGEIFS($B$5:$B$504,$A$5:$A$504,"&gt;="&amp;A427-6,$A$5:$A$504,"&lt;="&amp;A427),""))</f>
        <v/>
      </c>
      <c r="D427" s="17" t="str">
        <f aca="false">IF(OR(C427="",COUNTIFS($A$5:$A$504,"&gt;="&amp;A427-13,$A$5:$A$504,"&lt;="&amp;A427-7)=0),"",C427-AVERAGEIFS($B$5:$B$504,$A$5:$A$504,"&gt;="&amp;A427-13,$A$5:$A$504,"&lt;="&amp;A427-7))</f>
        <v/>
      </c>
      <c r="E427" s="18" t="str">
        <f aca="false">IF(D427="","",IF(AND(D427&gt;=0.2,D427&lt;=0.35),"On target — change nothing",IF(D427&lt;0.2,"Gaining too slowly — add 200 kcal to training days","Gaining too fast — cut 200 kcal from training days")))</f>
        <v/>
      </c>
    </row>
    <row r="428" customFormat="false" ht="15" hidden="false" customHeight="false" outlineLevel="0" collapsed="false">
      <c r="A428" s="19"/>
      <c r="B428" s="20"/>
      <c r="C428" s="16" t="str">
        <f aca="false">IF(B428="","",IFERROR(AVERAGEIFS($B$5:$B$504,$A$5:$A$504,"&gt;="&amp;A428-6,$A$5:$A$504,"&lt;="&amp;A428),""))</f>
        <v/>
      </c>
      <c r="D428" s="17" t="str">
        <f aca="false">IF(OR(C428="",COUNTIFS($A$5:$A$504,"&gt;="&amp;A428-13,$A$5:$A$504,"&lt;="&amp;A428-7)=0),"",C428-AVERAGEIFS($B$5:$B$504,$A$5:$A$504,"&gt;="&amp;A428-13,$A$5:$A$504,"&lt;="&amp;A428-7))</f>
        <v/>
      </c>
      <c r="E428" s="18" t="str">
        <f aca="false">IF(D428="","",IF(AND(D428&gt;=0.2,D428&lt;=0.35),"On target — change nothing",IF(D428&lt;0.2,"Gaining too slowly — add 200 kcal to training days","Gaining too fast — cut 200 kcal from training days")))</f>
        <v/>
      </c>
    </row>
    <row r="429" customFormat="false" ht="15" hidden="false" customHeight="false" outlineLevel="0" collapsed="false">
      <c r="A429" s="19"/>
      <c r="B429" s="20"/>
      <c r="C429" s="16" t="str">
        <f aca="false">IF(B429="","",IFERROR(AVERAGEIFS($B$5:$B$504,$A$5:$A$504,"&gt;="&amp;A429-6,$A$5:$A$504,"&lt;="&amp;A429),""))</f>
        <v/>
      </c>
      <c r="D429" s="17" t="str">
        <f aca="false">IF(OR(C429="",COUNTIFS($A$5:$A$504,"&gt;="&amp;A429-13,$A$5:$A$504,"&lt;="&amp;A429-7)=0),"",C429-AVERAGEIFS($B$5:$B$504,$A$5:$A$504,"&gt;="&amp;A429-13,$A$5:$A$504,"&lt;="&amp;A429-7))</f>
        <v/>
      </c>
      <c r="E429" s="18" t="str">
        <f aca="false">IF(D429="","",IF(AND(D429&gt;=0.2,D429&lt;=0.35),"On target — change nothing",IF(D429&lt;0.2,"Gaining too slowly — add 200 kcal to training days","Gaining too fast — cut 200 kcal from training days")))</f>
        <v/>
      </c>
    </row>
    <row r="430" customFormat="false" ht="15" hidden="false" customHeight="false" outlineLevel="0" collapsed="false">
      <c r="A430" s="19"/>
      <c r="B430" s="20"/>
      <c r="C430" s="16" t="str">
        <f aca="false">IF(B430="","",IFERROR(AVERAGEIFS($B$5:$B$504,$A$5:$A$504,"&gt;="&amp;A430-6,$A$5:$A$504,"&lt;="&amp;A430),""))</f>
        <v/>
      </c>
      <c r="D430" s="17" t="str">
        <f aca="false">IF(OR(C430="",COUNTIFS($A$5:$A$504,"&gt;="&amp;A430-13,$A$5:$A$504,"&lt;="&amp;A430-7)=0),"",C430-AVERAGEIFS($B$5:$B$504,$A$5:$A$504,"&gt;="&amp;A430-13,$A$5:$A$504,"&lt;="&amp;A430-7))</f>
        <v/>
      </c>
      <c r="E430" s="18" t="str">
        <f aca="false">IF(D430="","",IF(AND(D430&gt;=0.2,D430&lt;=0.35),"On target — change nothing",IF(D430&lt;0.2,"Gaining too slowly — add 200 kcal to training days","Gaining too fast — cut 200 kcal from training days")))</f>
        <v/>
      </c>
    </row>
    <row r="431" customFormat="false" ht="15" hidden="false" customHeight="false" outlineLevel="0" collapsed="false">
      <c r="A431" s="19"/>
      <c r="B431" s="20"/>
      <c r="C431" s="16" t="str">
        <f aca="false">IF(B431="","",IFERROR(AVERAGEIFS($B$5:$B$504,$A$5:$A$504,"&gt;="&amp;A431-6,$A$5:$A$504,"&lt;="&amp;A431),""))</f>
        <v/>
      </c>
      <c r="D431" s="17" t="str">
        <f aca="false">IF(OR(C431="",COUNTIFS($A$5:$A$504,"&gt;="&amp;A431-13,$A$5:$A$504,"&lt;="&amp;A431-7)=0),"",C431-AVERAGEIFS($B$5:$B$504,$A$5:$A$504,"&gt;="&amp;A431-13,$A$5:$A$504,"&lt;="&amp;A431-7))</f>
        <v/>
      </c>
      <c r="E431" s="18" t="str">
        <f aca="false">IF(D431="","",IF(AND(D431&gt;=0.2,D431&lt;=0.35),"On target — change nothing",IF(D431&lt;0.2,"Gaining too slowly — add 200 kcal to training days","Gaining too fast — cut 200 kcal from training days")))</f>
        <v/>
      </c>
    </row>
    <row r="432" customFormat="false" ht="15" hidden="false" customHeight="false" outlineLevel="0" collapsed="false">
      <c r="A432" s="19"/>
      <c r="B432" s="20"/>
      <c r="C432" s="16" t="str">
        <f aca="false">IF(B432="","",IFERROR(AVERAGEIFS($B$5:$B$504,$A$5:$A$504,"&gt;="&amp;A432-6,$A$5:$A$504,"&lt;="&amp;A432),""))</f>
        <v/>
      </c>
      <c r="D432" s="17" t="str">
        <f aca="false">IF(OR(C432="",COUNTIFS($A$5:$A$504,"&gt;="&amp;A432-13,$A$5:$A$504,"&lt;="&amp;A432-7)=0),"",C432-AVERAGEIFS($B$5:$B$504,$A$5:$A$504,"&gt;="&amp;A432-13,$A$5:$A$504,"&lt;="&amp;A432-7))</f>
        <v/>
      </c>
      <c r="E432" s="18" t="str">
        <f aca="false">IF(D432="","",IF(AND(D432&gt;=0.2,D432&lt;=0.35),"On target — change nothing",IF(D432&lt;0.2,"Gaining too slowly — add 200 kcal to training days","Gaining too fast — cut 200 kcal from training days")))</f>
        <v/>
      </c>
    </row>
    <row r="433" customFormat="false" ht="15" hidden="false" customHeight="false" outlineLevel="0" collapsed="false">
      <c r="A433" s="19"/>
      <c r="B433" s="20"/>
      <c r="C433" s="16" t="str">
        <f aca="false">IF(B433="","",IFERROR(AVERAGEIFS($B$5:$B$504,$A$5:$A$504,"&gt;="&amp;A433-6,$A$5:$A$504,"&lt;="&amp;A433),""))</f>
        <v/>
      </c>
      <c r="D433" s="17" t="str">
        <f aca="false">IF(OR(C433="",COUNTIFS($A$5:$A$504,"&gt;="&amp;A433-13,$A$5:$A$504,"&lt;="&amp;A433-7)=0),"",C433-AVERAGEIFS($B$5:$B$504,$A$5:$A$504,"&gt;="&amp;A433-13,$A$5:$A$504,"&lt;="&amp;A433-7))</f>
        <v/>
      </c>
      <c r="E433" s="18" t="str">
        <f aca="false">IF(D433="","",IF(AND(D433&gt;=0.2,D433&lt;=0.35),"On target — change nothing",IF(D433&lt;0.2,"Gaining too slowly — add 200 kcal to training days","Gaining too fast — cut 200 kcal from training days")))</f>
        <v/>
      </c>
    </row>
    <row r="434" customFormat="false" ht="15" hidden="false" customHeight="false" outlineLevel="0" collapsed="false">
      <c r="A434" s="19"/>
      <c r="B434" s="20"/>
      <c r="C434" s="16" t="str">
        <f aca="false">IF(B434="","",IFERROR(AVERAGEIFS($B$5:$B$504,$A$5:$A$504,"&gt;="&amp;A434-6,$A$5:$A$504,"&lt;="&amp;A434),""))</f>
        <v/>
      </c>
      <c r="D434" s="17" t="str">
        <f aca="false">IF(OR(C434="",COUNTIFS($A$5:$A$504,"&gt;="&amp;A434-13,$A$5:$A$504,"&lt;="&amp;A434-7)=0),"",C434-AVERAGEIFS($B$5:$B$504,$A$5:$A$504,"&gt;="&amp;A434-13,$A$5:$A$504,"&lt;="&amp;A434-7))</f>
        <v/>
      </c>
      <c r="E434" s="18" t="str">
        <f aca="false">IF(D434="","",IF(AND(D434&gt;=0.2,D434&lt;=0.35),"On target — change nothing",IF(D434&lt;0.2,"Gaining too slowly — add 200 kcal to training days","Gaining too fast — cut 200 kcal from training days")))</f>
        <v/>
      </c>
    </row>
    <row r="435" customFormat="false" ht="15" hidden="false" customHeight="false" outlineLevel="0" collapsed="false">
      <c r="A435" s="19"/>
      <c r="B435" s="20"/>
      <c r="C435" s="16" t="str">
        <f aca="false">IF(B435="","",IFERROR(AVERAGEIFS($B$5:$B$504,$A$5:$A$504,"&gt;="&amp;A435-6,$A$5:$A$504,"&lt;="&amp;A435),""))</f>
        <v/>
      </c>
      <c r="D435" s="17" t="str">
        <f aca="false">IF(OR(C435="",COUNTIFS($A$5:$A$504,"&gt;="&amp;A435-13,$A$5:$A$504,"&lt;="&amp;A435-7)=0),"",C435-AVERAGEIFS($B$5:$B$504,$A$5:$A$504,"&gt;="&amp;A435-13,$A$5:$A$504,"&lt;="&amp;A435-7))</f>
        <v/>
      </c>
      <c r="E435" s="18" t="str">
        <f aca="false">IF(D435="","",IF(AND(D435&gt;=0.2,D435&lt;=0.35),"On target — change nothing",IF(D435&lt;0.2,"Gaining too slowly — add 200 kcal to training days","Gaining too fast — cut 200 kcal from training days")))</f>
        <v/>
      </c>
    </row>
    <row r="436" customFormat="false" ht="15" hidden="false" customHeight="false" outlineLevel="0" collapsed="false">
      <c r="A436" s="19"/>
      <c r="B436" s="20"/>
      <c r="C436" s="16" t="str">
        <f aca="false">IF(B436="","",IFERROR(AVERAGEIFS($B$5:$B$504,$A$5:$A$504,"&gt;="&amp;A436-6,$A$5:$A$504,"&lt;="&amp;A436),""))</f>
        <v/>
      </c>
      <c r="D436" s="17" t="str">
        <f aca="false">IF(OR(C436="",COUNTIFS($A$5:$A$504,"&gt;="&amp;A436-13,$A$5:$A$504,"&lt;="&amp;A436-7)=0),"",C436-AVERAGEIFS($B$5:$B$504,$A$5:$A$504,"&gt;="&amp;A436-13,$A$5:$A$504,"&lt;="&amp;A436-7))</f>
        <v/>
      </c>
      <c r="E436" s="18" t="str">
        <f aca="false">IF(D436="","",IF(AND(D436&gt;=0.2,D436&lt;=0.35),"On target — change nothing",IF(D436&lt;0.2,"Gaining too slowly — add 200 kcal to training days","Gaining too fast — cut 200 kcal from training days")))</f>
        <v/>
      </c>
    </row>
    <row r="437" customFormat="false" ht="15" hidden="false" customHeight="false" outlineLevel="0" collapsed="false">
      <c r="A437" s="19"/>
      <c r="B437" s="20"/>
      <c r="C437" s="16" t="str">
        <f aca="false">IF(B437="","",IFERROR(AVERAGEIFS($B$5:$B$504,$A$5:$A$504,"&gt;="&amp;A437-6,$A$5:$A$504,"&lt;="&amp;A437),""))</f>
        <v/>
      </c>
      <c r="D437" s="17" t="str">
        <f aca="false">IF(OR(C437="",COUNTIFS($A$5:$A$504,"&gt;="&amp;A437-13,$A$5:$A$504,"&lt;="&amp;A437-7)=0),"",C437-AVERAGEIFS($B$5:$B$504,$A$5:$A$504,"&gt;="&amp;A437-13,$A$5:$A$504,"&lt;="&amp;A437-7))</f>
        <v/>
      </c>
      <c r="E437" s="18" t="str">
        <f aca="false">IF(D437="","",IF(AND(D437&gt;=0.2,D437&lt;=0.35),"On target — change nothing",IF(D437&lt;0.2,"Gaining too slowly — add 200 kcal to training days","Gaining too fast — cut 200 kcal from training days")))</f>
        <v/>
      </c>
    </row>
    <row r="438" customFormat="false" ht="15" hidden="false" customHeight="false" outlineLevel="0" collapsed="false">
      <c r="A438" s="19"/>
      <c r="B438" s="20"/>
      <c r="C438" s="16" t="str">
        <f aca="false">IF(B438="","",IFERROR(AVERAGEIFS($B$5:$B$504,$A$5:$A$504,"&gt;="&amp;A438-6,$A$5:$A$504,"&lt;="&amp;A438),""))</f>
        <v/>
      </c>
      <c r="D438" s="17" t="str">
        <f aca="false">IF(OR(C438="",COUNTIFS($A$5:$A$504,"&gt;="&amp;A438-13,$A$5:$A$504,"&lt;="&amp;A438-7)=0),"",C438-AVERAGEIFS($B$5:$B$504,$A$5:$A$504,"&gt;="&amp;A438-13,$A$5:$A$504,"&lt;="&amp;A438-7))</f>
        <v/>
      </c>
      <c r="E438" s="18" t="str">
        <f aca="false">IF(D438="","",IF(AND(D438&gt;=0.2,D438&lt;=0.35),"On target — change nothing",IF(D438&lt;0.2,"Gaining too slowly — add 200 kcal to training days","Gaining too fast — cut 200 kcal from training days")))</f>
        <v/>
      </c>
    </row>
    <row r="439" customFormat="false" ht="15" hidden="false" customHeight="false" outlineLevel="0" collapsed="false">
      <c r="A439" s="19"/>
      <c r="B439" s="20"/>
      <c r="C439" s="16" t="str">
        <f aca="false">IF(B439="","",IFERROR(AVERAGEIFS($B$5:$B$504,$A$5:$A$504,"&gt;="&amp;A439-6,$A$5:$A$504,"&lt;="&amp;A439),""))</f>
        <v/>
      </c>
      <c r="D439" s="17" t="str">
        <f aca="false">IF(OR(C439="",COUNTIFS($A$5:$A$504,"&gt;="&amp;A439-13,$A$5:$A$504,"&lt;="&amp;A439-7)=0),"",C439-AVERAGEIFS($B$5:$B$504,$A$5:$A$504,"&gt;="&amp;A439-13,$A$5:$A$504,"&lt;="&amp;A439-7))</f>
        <v/>
      </c>
      <c r="E439" s="18" t="str">
        <f aca="false">IF(D439="","",IF(AND(D439&gt;=0.2,D439&lt;=0.35),"On target — change nothing",IF(D439&lt;0.2,"Gaining too slowly — add 200 kcal to training days","Gaining too fast — cut 200 kcal from training days")))</f>
        <v/>
      </c>
    </row>
    <row r="440" customFormat="false" ht="15" hidden="false" customHeight="false" outlineLevel="0" collapsed="false">
      <c r="A440" s="19"/>
      <c r="B440" s="20"/>
      <c r="C440" s="16" t="str">
        <f aca="false">IF(B440="","",IFERROR(AVERAGEIFS($B$5:$B$504,$A$5:$A$504,"&gt;="&amp;A440-6,$A$5:$A$504,"&lt;="&amp;A440),""))</f>
        <v/>
      </c>
      <c r="D440" s="17" t="str">
        <f aca="false">IF(OR(C440="",COUNTIFS($A$5:$A$504,"&gt;="&amp;A440-13,$A$5:$A$504,"&lt;="&amp;A440-7)=0),"",C440-AVERAGEIFS($B$5:$B$504,$A$5:$A$504,"&gt;="&amp;A440-13,$A$5:$A$504,"&lt;="&amp;A440-7))</f>
        <v/>
      </c>
      <c r="E440" s="18" t="str">
        <f aca="false">IF(D440="","",IF(AND(D440&gt;=0.2,D440&lt;=0.35),"On target — change nothing",IF(D440&lt;0.2,"Gaining too slowly — add 200 kcal to training days","Gaining too fast — cut 200 kcal from training days")))</f>
        <v/>
      </c>
    </row>
    <row r="441" customFormat="false" ht="15" hidden="false" customHeight="false" outlineLevel="0" collapsed="false">
      <c r="A441" s="19"/>
      <c r="B441" s="20"/>
      <c r="C441" s="16" t="str">
        <f aca="false">IF(B441="","",IFERROR(AVERAGEIFS($B$5:$B$504,$A$5:$A$504,"&gt;="&amp;A441-6,$A$5:$A$504,"&lt;="&amp;A441),""))</f>
        <v/>
      </c>
      <c r="D441" s="17" t="str">
        <f aca="false">IF(OR(C441="",COUNTIFS($A$5:$A$504,"&gt;="&amp;A441-13,$A$5:$A$504,"&lt;="&amp;A441-7)=0),"",C441-AVERAGEIFS($B$5:$B$504,$A$5:$A$504,"&gt;="&amp;A441-13,$A$5:$A$504,"&lt;="&amp;A441-7))</f>
        <v/>
      </c>
      <c r="E441" s="18" t="str">
        <f aca="false">IF(D441="","",IF(AND(D441&gt;=0.2,D441&lt;=0.35),"On target — change nothing",IF(D441&lt;0.2,"Gaining too slowly — add 200 kcal to training days","Gaining too fast — cut 200 kcal from training days")))</f>
        <v/>
      </c>
    </row>
    <row r="442" customFormat="false" ht="15" hidden="false" customHeight="false" outlineLevel="0" collapsed="false">
      <c r="A442" s="19"/>
      <c r="B442" s="20"/>
      <c r="C442" s="16" t="str">
        <f aca="false">IF(B442="","",IFERROR(AVERAGEIFS($B$5:$B$504,$A$5:$A$504,"&gt;="&amp;A442-6,$A$5:$A$504,"&lt;="&amp;A442),""))</f>
        <v/>
      </c>
      <c r="D442" s="17" t="str">
        <f aca="false">IF(OR(C442="",COUNTIFS($A$5:$A$504,"&gt;="&amp;A442-13,$A$5:$A$504,"&lt;="&amp;A442-7)=0),"",C442-AVERAGEIFS($B$5:$B$504,$A$5:$A$504,"&gt;="&amp;A442-13,$A$5:$A$504,"&lt;="&amp;A442-7))</f>
        <v/>
      </c>
      <c r="E442" s="18" t="str">
        <f aca="false">IF(D442="","",IF(AND(D442&gt;=0.2,D442&lt;=0.35),"On target — change nothing",IF(D442&lt;0.2,"Gaining too slowly — add 200 kcal to training days","Gaining too fast — cut 200 kcal from training days")))</f>
        <v/>
      </c>
    </row>
    <row r="443" customFormat="false" ht="15" hidden="false" customHeight="false" outlineLevel="0" collapsed="false">
      <c r="A443" s="19"/>
      <c r="B443" s="20"/>
      <c r="C443" s="16" t="str">
        <f aca="false">IF(B443="","",IFERROR(AVERAGEIFS($B$5:$B$504,$A$5:$A$504,"&gt;="&amp;A443-6,$A$5:$A$504,"&lt;="&amp;A443),""))</f>
        <v/>
      </c>
      <c r="D443" s="17" t="str">
        <f aca="false">IF(OR(C443="",COUNTIFS($A$5:$A$504,"&gt;="&amp;A443-13,$A$5:$A$504,"&lt;="&amp;A443-7)=0),"",C443-AVERAGEIFS($B$5:$B$504,$A$5:$A$504,"&gt;="&amp;A443-13,$A$5:$A$504,"&lt;="&amp;A443-7))</f>
        <v/>
      </c>
      <c r="E443" s="18" t="str">
        <f aca="false">IF(D443="","",IF(AND(D443&gt;=0.2,D443&lt;=0.35),"On target — change nothing",IF(D443&lt;0.2,"Gaining too slowly — add 200 kcal to training days","Gaining too fast — cut 200 kcal from training days")))</f>
        <v/>
      </c>
    </row>
    <row r="444" customFormat="false" ht="15" hidden="false" customHeight="false" outlineLevel="0" collapsed="false">
      <c r="A444" s="19"/>
      <c r="B444" s="20"/>
      <c r="C444" s="16" t="str">
        <f aca="false">IF(B444="","",IFERROR(AVERAGEIFS($B$5:$B$504,$A$5:$A$504,"&gt;="&amp;A444-6,$A$5:$A$504,"&lt;="&amp;A444),""))</f>
        <v/>
      </c>
      <c r="D444" s="17" t="str">
        <f aca="false">IF(OR(C444="",COUNTIFS($A$5:$A$504,"&gt;="&amp;A444-13,$A$5:$A$504,"&lt;="&amp;A444-7)=0),"",C444-AVERAGEIFS($B$5:$B$504,$A$5:$A$504,"&gt;="&amp;A444-13,$A$5:$A$504,"&lt;="&amp;A444-7))</f>
        <v/>
      </c>
      <c r="E444" s="18" t="str">
        <f aca="false">IF(D444="","",IF(AND(D444&gt;=0.2,D444&lt;=0.35),"On target — change nothing",IF(D444&lt;0.2,"Gaining too slowly — add 200 kcal to training days","Gaining too fast — cut 200 kcal from training days")))</f>
        <v/>
      </c>
    </row>
    <row r="445" customFormat="false" ht="15" hidden="false" customHeight="false" outlineLevel="0" collapsed="false">
      <c r="A445" s="19"/>
      <c r="B445" s="20"/>
      <c r="C445" s="16" t="str">
        <f aca="false">IF(B445="","",IFERROR(AVERAGEIFS($B$5:$B$504,$A$5:$A$504,"&gt;="&amp;A445-6,$A$5:$A$504,"&lt;="&amp;A445),""))</f>
        <v/>
      </c>
      <c r="D445" s="17" t="str">
        <f aca="false">IF(OR(C445="",COUNTIFS($A$5:$A$504,"&gt;="&amp;A445-13,$A$5:$A$504,"&lt;="&amp;A445-7)=0),"",C445-AVERAGEIFS($B$5:$B$504,$A$5:$A$504,"&gt;="&amp;A445-13,$A$5:$A$504,"&lt;="&amp;A445-7))</f>
        <v/>
      </c>
      <c r="E445" s="18" t="str">
        <f aca="false">IF(D445="","",IF(AND(D445&gt;=0.2,D445&lt;=0.35),"On target — change nothing",IF(D445&lt;0.2,"Gaining too slowly — add 200 kcal to training days","Gaining too fast — cut 200 kcal from training days")))</f>
        <v/>
      </c>
    </row>
    <row r="446" customFormat="false" ht="15" hidden="false" customHeight="false" outlineLevel="0" collapsed="false">
      <c r="A446" s="19"/>
      <c r="B446" s="20"/>
      <c r="C446" s="16" t="str">
        <f aca="false">IF(B446="","",IFERROR(AVERAGEIFS($B$5:$B$504,$A$5:$A$504,"&gt;="&amp;A446-6,$A$5:$A$504,"&lt;="&amp;A446),""))</f>
        <v/>
      </c>
      <c r="D446" s="17" t="str">
        <f aca="false">IF(OR(C446="",COUNTIFS($A$5:$A$504,"&gt;="&amp;A446-13,$A$5:$A$504,"&lt;="&amp;A446-7)=0),"",C446-AVERAGEIFS($B$5:$B$504,$A$5:$A$504,"&gt;="&amp;A446-13,$A$5:$A$504,"&lt;="&amp;A446-7))</f>
        <v/>
      </c>
      <c r="E446" s="18" t="str">
        <f aca="false">IF(D446="","",IF(AND(D446&gt;=0.2,D446&lt;=0.35),"On target — change nothing",IF(D446&lt;0.2,"Gaining too slowly — add 200 kcal to training days","Gaining too fast — cut 200 kcal from training days")))</f>
        <v/>
      </c>
    </row>
    <row r="447" customFormat="false" ht="15" hidden="false" customHeight="false" outlineLevel="0" collapsed="false">
      <c r="A447" s="19"/>
      <c r="B447" s="20"/>
      <c r="C447" s="16" t="str">
        <f aca="false">IF(B447="","",IFERROR(AVERAGEIFS($B$5:$B$504,$A$5:$A$504,"&gt;="&amp;A447-6,$A$5:$A$504,"&lt;="&amp;A447),""))</f>
        <v/>
      </c>
      <c r="D447" s="17" t="str">
        <f aca="false">IF(OR(C447="",COUNTIFS($A$5:$A$504,"&gt;="&amp;A447-13,$A$5:$A$504,"&lt;="&amp;A447-7)=0),"",C447-AVERAGEIFS($B$5:$B$504,$A$5:$A$504,"&gt;="&amp;A447-13,$A$5:$A$504,"&lt;="&amp;A447-7))</f>
        <v/>
      </c>
      <c r="E447" s="18" t="str">
        <f aca="false">IF(D447="","",IF(AND(D447&gt;=0.2,D447&lt;=0.35),"On target — change nothing",IF(D447&lt;0.2,"Gaining too slowly — add 200 kcal to training days","Gaining too fast — cut 200 kcal from training days")))</f>
        <v/>
      </c>
    </row>
    <row r="448" customFormat="false" ht="15" hidden="false" customHeight="false" outlineLevel="0" collapsed="false">
      <c r="A448" s="19"/>
      <c r="B448" s="20"/>
      <c r="C448" s="16" t="str">
        <f aca="false">IF(B448="","",IFERROR(AVERAGEIFS($B$5:$B$504,$A$5:$A$504,"&gt;="&amp;A448-6,$A$5:$A$504,"&lt;="&amp;A448),""))</f>
        <v/>
      </c>
      <c r="D448" s="17" t="str">
        <f aca="false">IF(OR(C448="",COUNTIFS($A$5:$A$504,"&gt;="&amp;A448-13,$A$5:$A$504,"&lt;="&amp;A448-7)=0),"",C448-AVERAGEIFS($B$5:$B$504,$A$5:$A$504,"&gt;="&amp;A448-13,$A$5:$A$504,"&lt;="&amp;A448-7))</f>
        <v/>
      </c>
      <c r="E448" s="18" t="str">
        <f aca="false">IF(D448="","",IF(AND(D448&gt;=0.2,D448&lt;=0.35),"On target — change nothing",IF(D448&lt;0.2,"Gaining too slowly — add 200 kcal to training days","Gaining too fast — cut 200 kcal from training days")))</f>
        <v/>
      </c>
    </row>
    <row r="449" customFormat="false" ht="15" hidden="false" customHeight="false" outlineLevel="0" collapsed="false">
      <c r="A449" s="19"/>
      <c r="B449" s="20"/>
      <c r="C449" s="16" t="str">
        <f aca="false">IF(B449="","",IFERROR(AVERAGEIFS($B$5:$B$504,$A$5:$A$504,"&gt;="&amp;A449-6,$A$5:$A$504,"&lt;="&amp;A449),""))</f>
        <v/>
      </c>
      <c r="D449" s="17" t="str">
        <f aca="false">IF(OR(C449="",COUNTIFS($A$5:$A$504,"&gt;="&amp;A449-13,$A$5:$A$504,"&lt;="&amp;A449-7)=0),"",C449-AVERAGEIFS($B$5:$B$504,$A$5:$A$504,"&gt;="&amp;A449-13,$A$5:$A$504,"&lt;="&amp;A449-7))</f>
        <v/>
      </c>
      <c r="E449" s="18" t="str">
        <f aca="false">IF(D449="","",IF(AND(D449&gt;=0.2,D449&lt;=0.35),"On target — change nothing",IF(D449&lt;0.2,"Gaining too slowly — add 200 kcal to training days","Gaining too fast — cut 200 kcal from training days")))</f>
        <v/>
      </c>
    </row>
    <row r="450" customFormat="false" ht="15" hidden="false" customHeight="false" outlineLevel="0" collapsed="false">
      <c r="A450" s="19"/>
      <c r="B450" s="20"/>
      <c r="C450" s="16" t="str">
        <f aca="false">IF(B450="","",IFERROR(AVERAGEIFS($B$5:$B$504,$A$5:$A$504,"&gt;="&amp;A450-6,$A$5:$A$504,"&lt;="&amp;A450),""))</f>
        <v/>
      </c>
      <c r="D450" s="17" t="str">
        <f aca="false">IF(OR(C450="",COUNTIFS($A$5:$A$504,"&gt;="&amp;A450-13,$A$5:$A$504,"&lt;="&amp;A450-7)=0),"",C450-AVERAGEIFS($B$5:$B$504,$A$5:$A$504,"&gt;="&amp;A450-13,$A$5:$A$504,"&lt;="&amp;A450-7))</f>
        <v/>
      </c>
      <c r="E450" s="18" t="str">
        <f aca="false">IF(D450="","",IF(AND(D450&gt;=0.2,D450&lt;=0.35),"On target — change nothing",IF(D450&lt;0.2,"Gaining too slowly — add 200 kcal to training days","Gaining too fast — cut 200 kcal from training days")))</f>
        <v/>
      </c>
    </row>
    <row r="451" customFormat="false" ht="15" hidden="false" customHeight="false" outlineLevel="0" collapsed="false">
      <c r="A451" s="19"/>
      <c r="B451" s="20"/>
      <c r="C451" s="16" t="str">
        <f aca="false">IF(B451="","",IFERROR(AVERAGEIFS($B$5:$B$504,$A$5:$A$504,"&gt;="&amp;A451-6,$A$5:$A$504,"&lt;="&amp;A451),""))</f>
        <v/>
      </c>
      <c r="D451" s="17" t="str">
        <f aca="false">IF(OR(C451="",COUNTIFS($A$5:$A$504,"&gt;="&amp;A451-13,$A$5:$A$504,"&lt;="&amp;A451-7)=0),"",C451-AVERAGEIFS($B$5:$B$504,$A$5:$A$504,"&gt;="&amp;A451-13,$A$5:$A$504,"&lt;="&amp;A451-7))</f>
        <v/>
      </c>
      <c r="E451" s="18" t="str">
        <f aca="false">IF(D451="","",IF(AND(D451&gt;=0.2,D451&lt;=0.35),"On target — change nothing",IF(D451&lt;0.2,"Gaining too slowly — add 200 kcal to training days","Gaining too fast — cut 200 kcal from training days")))</f>
        <v/>
      </c>
    </row>
    <row r="452" customFormat="false" ht="15" hidden="false" customHeight="false" outlineLevel="0" collapsed="false">
      <c r="A452" s="19"/>
      <c r="B452" s="20"/>
      <c r="C452" s="16" t="str">
        <f aca="false">IF(B452="","",IFERROR(AVERAGEIFS($B$5:$B$504,$A$5:$A$504,"&gt;="&amp;A452-6,$A$5:$A$504,"&lt;="&amp;A452),""))</f>
        <v/>
      </c>
      <c r="D452" s="17" t="str">
        <f aca="false">IF(OR(C452="",COUNTIFS($A$5:$A$504,"&gt;="&amp;A452-13,$A$5:$A$504,"&lt;="&amp;A452-7)=0),"",C452-AVERAGEIFS($B$5:$B$504,$A$5:$A$504,"&gt;="&amp;A452-13,$A$5:$A$504,"&lt;="&amp;A452-7))</f>
        <v/>
      </c>
      <c r="E452" s="18" t="str">
        <f aca="false">IF(D452="","",IF(AND(D452&gt;=0.2,D452&lt;=0.35),"On target — change nothing",IF(D452&lt;0.2,"Gaining too slowly — add 200 kcal to training days","Gaining too fast — cut 200 kcal from training days")))</f>
        <v/>
      </c>
    </row>
    <row r="453" customFormat="false" ht="15" hidden="false" customHeight="false" outlineLevel="0" collapsed="false">
      <c r="A453" s="19"/>
      <c r="B453" s="20"/>
      <c r="C453" s="16" t="str">
        <f aca="false">IF(B453="","",IFERROR(AVERAGEIFS($B$5:$B$504,$A$5:$A$504,"&gt;="&amp;A453-6,$A$5:$A$504,"&lt;="&amp;A453),""))</f>
        <v/>
      </c>
      <c r="D453" s="17" t="str">
        <f aca="false">IF(OR(C453="",COUNTIFS($A$5:$A$504,"&gt;="&amp;A453-13,$A$5:$A$504,"&lt;="&amp;A453-7)=0),"",C453-AVERAGEIFS($B$5:$B$504,$A$5:$A$504,"&gt;="&amp;A453-13,$A$5:$A$504,"&lt;="&amp;A453-7))</f>
        <v/>
      </c>
      <c r="E453" s="18" t="str">
        <f aca="false">IF(D453="","",IF(AND(D453&gt;=0.2,D453&lt;=0.35),"On target — change nothing",IF(D453&lt;0.2,"Gaining too slowly — add 200 kcal to training days","Gaining too fast — cut 200 kcal from training days")))</f>
        <v/>
      </c>
    </row>
    <row r="454" customFormat="false" ht="15" hidden="false" customHeight="false" outlineLevel="0" collapsed="false">
      <c r="A454" s="19"/>
      <c r="B454" s="20"/>
      <c r="C454" s="16" t="str">
        <f aca="false">IF(B454="","",IFERROR(AVERAGEIFS($B$5:$B$504,$A$5:$A$504,"&gt;="&amp;A454-6,$A$5:$A$504,"&lt;="&amp;A454),""))</f>
        <v/>
      </c>
      <c r="D454" s="17" t="str">
        <f aca="false">IF(OR(C454="",COUNTIFS($A$5:$A$504,"&gt;="&amp;A454-13,$A$5:$A$504,"&lt;="&amp;A454-7)=0),"",C454-AVERAGEIFS($B$5:$B$504,$A$5:$A$504,"&gt;="&amp;A454-13,$A$5:$A$504,"&lt;="&amp;A454-7))</f>
        <v/>
      </c>
      <c r="E454" s="18" t="str">
        <f aca="false">IF(D454="","",IF(AND(D454&gt;=0.2,D454&lt;=0.35),"On target — change nothing",IF(D454&lt;0.2,"Gaining too slowly — add 200 kcal to training days","Gaining too fast — cut 200 kcal from training days")))</f>
        <v/>
      </c>
    </row>
    <row r="455" customFormat="false" ht="15" hidden="false" customHeight="false" outlineLevel="0" collapsed="false">
      <c r="A455" s="19"/>
      <c r="B455" s="20"/>
      <c r="C455" s="16" t="str">
        <f aca="false">IF(B455="","",IFERROR(AVERAGEIFS($B$5:$B$504,$A$5:$A$504,"&gt;="&amp;A455-6,$A$5:$A$504,"&lt;="&amp;A455),""))</f>
        <v/>
      </c>
      <c r="D455" s="17" t="str">
        <f aca="false">IF(OR(C455="",COUNTIFS($A$5:$A$504,"&gt;="&amp;A455-13,$A$5:$A$504,"&lt;="&amp;A455-7)=0),"",C455-AVERAGEIFS($B$5:$B$504,$A$5:$A$504,"&gt;="&amp;A455-13,$A$5:$A$504,"&lt;="&amp;A455-7))</f>
        <v/>
      </c>
      <c r="E455" s="18" t="str">
        <f aca="false">IF(D455="","",IF(AND(D455&gt;=0.2,D455&lt;=0.35),"On target — change nothing",IF(D455&lt;0.2,"Gaining too slowly — add 200 kcal to training days","Gaining too fast — cut 200 kcal from training days")))</f>
        <v/>
      </c>
    </row>
    <row r="456" customFormat="false" ht="15" hidden="false" customHeight="false" outlineLevel="0" collapsed="false">
      <c r="A456" s="19"/>
      <c r="B456" s="20"/>
      <c r="C456" s="16" t="str">
        <f aca="false">IF(B456="","",IFERROR(AVERAGEIFS($B$5:$B$504,$A$5:$A$504,"&gt;="&amp;A456-6,$A$5:$A$504,"&lt;="&amp;A456),""))</f>
        <v/>
      </c>
      <c r="D456" s="17" t="str">
        <f aca="false">IF(OR(C456="",COUNTIFS($A$5:$A$504,"&gt;="&amp;A456-13,$A$5:$A$504,"&lt;="&amp;A456-7)=0),"",C456-AVERAGEIFS($B$5:$B$504,$A$5:$A$504,"&gt;="&amp;A456-13,$A$5:$A$504,"&lt;="&amp;A456-7))</f>
        <v/>
      </c>
      <c r="E456" s="18" t="str">
        <f aca="false">IF(D456="","",IF(AND(D456&gt;=0.2,D456&lt;=0.35),"On target — change nothing",IF(D456&lt;0.2,"Gaining too slowly — add 200 kcal to training days","Gaining too fast — cut 200 kcal from training days")))</f>
        <v/>
      </c>
    </row>
    <row r="457" customFormat="false" ht="15" hidden="false" customHeight="false" outlineLevel="0" collapsed="false">
      <c r="A457" s="19"/>
      <c r="B457" s="20"/>
      <c r="C457" s="16" t="str">
        <f aca="false">IF(B457="","",IFERROR(AVERAGEIFS($B$5:$B$504,$A$5:$A$504,"&gt;="&amp;A457-6,$A$5:$A$504,"&lt;="&amp;A457),""))</f>
        <v/>
      </c>
      <c r="D457" s="17" t="str">
        <f aca="false">IF(OR(C457="",COUNTIFS($A$5:$A$504,"&gt;="&amp;A457-13,$A$5:$A$504,"&lt;="&amp;A457-7)=0),"",C457-AVERAGEIFS($B$5:$B$504,$A$5:$A$504,"&gt;="&amp;A457-13,$A$5:$A$504,"&lt;="&amp;A457-7))</f>
        <v/>
      </c>
      <c r="E457" s="18" t="str">
        <f aca="false">IF(D457="","",IF(AND(D457&gt;=0.2,D457&lt;=0.35),"On target — change nothing",IF(D457&lt;0.2,"Gaining too slowly — add 200 kcal to training days","Gaining too fast — cut 200 kcal from training days")))</f>
        <v/>
      </c>
    </row>
    <row r="458" customFormat="false" ht="15" hidden="false" customHeight="false" outlineLevel="0" collapsed="false">
      <c r="A458" s="19"/>
      <c r="B458" s="20"/>
      <c r="C458" s="16" t="str">
        <f aca="false">IF(B458="","",IFERROR(AVERAGEIFS($B$5:$B$504,$A$5:$A$504,"&gt;="&amp;A458-6,$A$5:$A$504,"&lt;="&amp;A458),""))</f>
        <v/>
      </c>
      <c r="D458" s="17" t="str">
        <f aca="false">IF(OR(C458="",COUNTIFS($A$5:$A$504,"&gt;="&amp;A458-13,$A$5:$A$504,"&lt;="&amp;A458-7)=0),"",C458-AVERAGEIFS($B$5:$B$504,$A$5:$A$504,"&gt;="&amp;A458-13,$A$5:$A$504,"&lt;="&amp;A458-7))</f>
        <v/>
      </c>
      <c r="E458" s="18" t="str">
        <f aca="false">IF(D458="","",IF(AND(D458&gt;=0.2,D458&lt;=0.35),"On target — change nothing",IF(D458&lt;0.2,"Gaining too slowly — add 200 kcal to training days","Gaining too fast — cut 200 kcal from training days")))</f>
        <v/>
      </c>
    </row>
    <row r="459" customFormat="false" ht="15" hidden="false" customHeight="false" outlineLevel="0" collapsed="false">
      <c r="A459" s="19"/>
      <c r="B459" s="20"/>
      <c r="C459" s="16" t="str">
        <f aca="false">IF(B459="","",IFERROR(AVERAGEIFS($B$5:$B$504,$A$5:$A$504,"&gt;="&amp;A459-6,$A$5:$A$504,"&lt;="&amp;A459),""))</f>
        <v/>
      </c>
      <c r="D459" s="17" t="str">
        <f aca="false">IF(OR(C459="",COUNTIFS($A$5:$A$504,"&gt;="&amp;A459-13,$A$5:$A$504,"&lt;="&amp;A459-7)=0),"",C459-AVERAGEIFS($B$5:$B$504,$A$5:$A$504,"&gt;="&amp;A459-13,$A$5:$A$504,"&lt;="&amp;A459-7))</f>
        <v/>
      </c>
      <c r="E459" s="18" t="str">
        <f aca="false">IF(D459="","",IF(AND(D459&gt;=0.2,D459&lt;=0.35),"On target — change nothing",IF(D459&lt;0.2,"Gaining too slowly — add 200 kcal to training days","Gaining too fast — cut 200 kcal from training days")))</f>
        <v/>
      </c>
    </row>
    <row r="460" customFormat="false" ht="15" hidden="false" customHeight="false" outlineLevel="0" collapsed="false">
      <c r="A460" s="19"/>
      <c r="B460" s="20"/>
      <c r="C460" s="16" t="str">
        <f aca="false">IF(B460="","",IFERROR(AVERAGEIFS($B$5:$B$504,$A$5:$A$504,"&gt;="&amp;A460-6,$A$5:$A$504,"&lt;="&amp;A460),""))</f>
        <v/>
      </c>
      <c r="D460" s="17" t="str">
        <f aca="false">IF(OR(C460="",COUNTIFS($A$5:$A$504,"&gt;="&amp;A460-13,$A$5:$A$504,"&lt;="&amp;A460-7)=0),"",C460-AVERAGEIFS($B$5:$B$504,$A$5:$A$504,"&gt;="&amp;A460-13,$A$5:$A$504,"&lt;="&amp;A460-7))</f>
        <v/>
      </c>
      <c r="E460" s="18" t="str">
        <f aca="false">IF(D460="","",IF(AND(D460&gt;=0.2,D460&lt;=0.35),"On target — change nothing",IF(D460&lt;0.2,"Gaining too slowly — add 200 kcal to training days","Gaining too fast — cut 200 kcal from training days")))</f>
        <v/>
      </c>
    </row>
    <row r="461" customFormat="false" ht="15" hidden="false" customHeight="false" outlineLevel="0" collapsed="false">
      <c r="A461" s="19"/>
      <c r="B461" s="20"/>
      <c r="C461" s="16" t="str">
        <f aca="false">IF(B461="","",IFERROR(AVERAGEIFS($B$5:$B$504,$A$5:$A$504,"&gt;="&amp;A461-6,$A$5:$A$504,"&lt;="&amp;A461),""))</f>
        <v/>
      </c>
      <c r="D461" s="17" t="str">
        <f aca="false">IF(OR(C461="",COUNTIFS($A$5:$A$504,"&gt;="&amp;A461-13,$A$5:$A$504,"&lt;="&amp;A461-7)=0),"",C461-AVERAGEIFS($B$5:$B$504,$A$5:$A$504,"&gt;="&amp;A461-13,$A$5:$A$504,"&lt;="&amp;A461-7))</f>
        <v/>
      </c>
      <c r="E461" s="18" t="str">
        <f aca="false">IF(D461="","",IF(AND(D461&gt;=0.2,D461&lt;=0.35),"On target — change nothing",IF(D461&lt;0.2,"Gaining too slowly — add 200 kcal to training days","Gaining too fast — cut 200 kcal from training days")))</f>
        <v/>
      </c>
    </row>
    <row r="462" customFormat="false" ht="15" hidden="false" customHeight="false" outlineLevel="0" collapsed="false">
      <c r="A462" s="19"/>
      <c r="B462" s="20"/>
      <c r="C462" s="16" t="str">
        <f aca="false">IF(B462="","",IFERROR(AVERAGEIFS($B$5:$B$504,$A$5:$A$504,"&gt;="&amp;A462-6,$A$5:$A$504,"&lt;="&amp;A462),""))</f>
        <v/>
      </c>
      <c r="D462" s="17" t="str">
        <f aca="false">IF(OR(C462="",COUNTIFS($A$5:$A$504,"&gt;="&amp;A462-13,$A$5:$A$504,"&lt;="&amp;A462-7)=0),"",C462-AVERAGEIFS($B$5:$B$504,$A$5:$A$504,"&gt;="&amp;A462-13,$A$5:$A$504,"&lt;="&amp;A462-7))</f>
        <v/>
      </c>
      <c r="E462" s="18" t="str">
        <f aca="false">IF(D462="","",IF(AND(D462&gt;=0.2,D462&lt;=0.35),"On target — change nothing",IF(D462&lt;0.2,"Gaining too slowly — add 200 kcal to training days","Gaining too fast — cut 200 kcal from training days")))</f>
        <v/>
      </c>
    </row>
    <row r="463" customFormat="false" ht="15" hidden="false" customHeight="false" outlineLevel="0" collapsed="false">
      <c r="A463" s="19"/>
      <c r="B463" s="20"/>
      <c r="C463" s="16" t="str">
        <f aca="false">IF(B463="","",IFERROR(AVERAGEIFS($B$5:$B$504,$A$5:$A$504,"&gt;="&amp;A463-6,$A$5:$A$504,"&lt;="&amp;A463),""))</f>
        <v/>
      </c>
      <c r="D463" s="17" t="str">
        <f aca="false">IF(OR(C463="",COUNTIFS($A$5:$A$504,"&gt;="&amp;A463-13,$A$5:$A$504,"&lt;="&amp;A463-7)=0),"",C463-AVERAGEIFS($B$5:$B$504,$A$5:$A$504,"&gt;="&amp;A463-13,$A$5:$A$504,"&lt;="&amp;A463-7))</f>
        <v/>
      </c>
      <c r="E463" s="18" t="str">
        <f aca="false">IF(D463="","",IF(AND(D463&gt;=0.2,D463&lt;=0.35),"On target — change nothing",IF(D463&lt;0.2,"Gaining too slowly — add 200 kcal to training days","Gaining too fast — cut 200 kcal from training days")))</f>
        <v/>
      </c>
    </row>
    <row r="464" customFormat="false" ht="15" hidden="false" customHeight="false" outlineLevel="0" collapsed="false">
      <c r="A464" s="19"/>
      <c r="B464" s="20"/>
      <c r="C464" s="16" t="str">
        <f aca="false">IF(B464="","",IFERROR(AVERAGEIFS($B$5:$B$504,$A$5:$A$504,"&gt;="&amp;A464-6,$A$5:$A$504,"&lt;="&amp;A464),""))</f>
        <v/>
      </c>
      <c r="D464" s="17" t="str">
        <f aca="false">IF(OR(C464="",COUNTIFS($A$5:$A$504,"&gt;="&amp;A464-13,$A$5:$A$504,"&lt;="&amp;A464-7)=0),"",C464-AVERAGEIFS($B$5:$B$504,$A$5:$A$504,"&gt;="&amp;A464-13,$A$5:$A$504,"&lt;="&amp;A464-7))</f>
        <v/>
      </c>
      <c r="E464" s="18" t="str">
        <f aca="false">IF(D464="","",IF(AND(D464&gt;=0.2,D464&lt;=0.35),"On target — change nothing",IF(D464&lt;0.2,"Gaining too slowly — add 200 kcal to training days","Gaining too fast — cut 200 kcal from training days")))</f>
        <v/>
      </c>
    </row>
    <row r="465" customFormat="false" ht="15" hidden="false" customHeight="false" outlineLevel="0" collapsed="false">
      <c r="A465" s="19"/>
      <c r="B465" s="20"/>
      <c r="C465" s="16" t="str">
        <f aca="false">IF(B465="","",IFERROR(AVERAGEIFS($B$5:$B$504,$A$5:$A$504,"&gt;="&amp;A465-6,$A$5:$A$504,"&lt;="&amp;A465),""))</f>
        <v/>
      </c>
      <c r="D465" s="17" t="str">
        <f aca="false">IF(OR(C465="",COUNTIFS($A$5:$A$504,"&gt;="&amp;A465-13,$A$5:$A$504,"&lt;="&amp;A465-7)=0),"",C465-AVERAGEIFS($B$5:$B$504,$A$5:$A$504,"&gt;="&amp;A465-13,$A$5:$A$504,"&lt;="&amp;A465-7))</f>
        <v/>
      </c>
      <c r="E465" s="18" t="str">
        <f aca="false">IF(D465="","",IF(AND(D465&gt;=0.2,D465&lt;=0.35),"On target — change nothing",IF(D465&lt;0.2,"Gaining too slowly — add 200 kcal to training days","Gaining too fast — cut 200 kcal from training days")))</f>
        <v/>
      </c>
    </row>
    <row r="466" customFormat="false" ht="15" hidden="false" customHeight="false" outlineLevel="0" collapsed="false">
      <c r="A466" s="19"/>
      <c r="B466" s="20"/>
      <c r="C466" s="16" t="str">
        <f aca="false">IF(B466="","",IFERROR(AVERAGEIFS($B$5:$B$504,$A$5:$A$504,"&gt;="&amp;A466-6,$A$5:$A$504,"&lt;="&amp;A466),""))</f>
        <v/>
      </c>
      <c r="D466" s="17" t="str">
        <f aca="false">IF(OR(C466="",COUNTIFS($A$5:$A$504,"&gt;="&amp;A466-13,$A$5:$A$504,"&lt;="&amp;A466-7)=0),"",C466-AVERAGEIFS($B$5:$B$504,$A$5:$A$504,"&gt;="&amp;A466-13,$A$5:$A$504,"&lt;="&amp;A466-7))</f>
        <v/>
      </c>
      <c r="E466" s="18" t="str">
        <f aca="false">IF(D466="","",IF(AND(D466&gt;=0.2,D466&lt;=0.35),"On target — change nothing",IF(D466&lt;0.2,"Gaining too slowly — add 200 kcal to training days","Gaining too fast — cut 200 kcal from training days")))</f>
        <v/>
      </c>
    </row>
    <row r="467" customFormat="false" ht="15" hidden="false" customHeight="false" outlineLevel="0" collapsed="false">
      <c r="A467" s="19"/>
      <c r="B467" s="20"/>
      <c r="C467" s="16" t="str">
        <f aca="false">IF(B467="","",IFERROR(AVERAGEIFS($B$5:$B$504,$A$5:$A$504,"&gt;="&amp;A467-6,$A$5:$A$504,"&lt;="&amp;A467),""))</f>
        <v/>
      </c>
      <c r="D467" s="17" t="str">
        <f aca="false">IF(OR(C467="",COUNTIFS($A$5:$A$504,"&gt;="&amp;A467-13,$A$5:$A$504,"&lt;="&amp;A467-7)=0),"",C467-AVERAGEIFS($B$5:$B$504,$A$5:$A$504,"&gt;="&amp;A467-13,$A$5:$A$504,"&lt;="&amp;A467-7))</f>
        <v/>
      </c>
      <c r="E467" s="18" t="str">
        <f aca="false">IF(D467="","",IF(AND(D467&gt;=0.2,D467&lt;=0.35),"On target — change nothing",IF(D467&lt;0.2,"Gaining too slowly — add 200 kcal to training days","Gaining too fast — cut 200 kcal from training days")))</f>
        <v/>
      </c>
    </row>
    <row r="468" customFormat="false" ht="15" hidden="false" customHeight="false" outlineLevel="0" collapsed="false">
      <c r="A468" s="19"/>
      <c r="B468" s="20"/>
      <c r="C468" s="16" t="str">
        <f aca="false">IF(B468="","",IFERROR(AVERAGEIFS($B$5:$B$504,$A$5:$A$504,"&gt;="&amp;A468-6,$A$5:$A$504,"&lt;="&amp;A468),""))</f>
        <v/>
      </c>
      <c r="D468" s="17" t="str">
        <f aca="false">IF(OR(C468="",COUNTIFS($A$5:$A$504,"&gt;="&amp;A468-13,$A$5:$A$504,"&lt;="&amp;A468-7)=0),"",C468-AVERAGEIFS($B$5:$B$504,$A$5:$A$504,"&gt;="&amp;A468-13,$A$5:$A$504,"&lt;="&amp;A468-7))</f>
        <v/>
      </c>
      <c r="E468" s="18" t="str">
        <f aca="false">IF(D468="","",IF(AND(D468&gt;=0.2,D468&lt;=0.35),"On target — change nothing",IF(D468&lt;0.2,"Gaining too slowly — add 200 kcal to training days","Gaining too fast — cut 200 kcal from training days")))</f>
        <v/>
      </c>
    </row>
    <row r="469" customFormat="false" ht="15" hidden="false" customHeight="false" outlineLevel="0" collapsed="false">
      <c r="A469" s="19"/>
      <c r="B469" s="20"/>
      <c r="C469" s="16" t="str">
        <f aca="false">IF(B469="","",IFERROR(AVERAGEIFS($B$5:$B$504,$A$5:$A$504,"&gt;="&amp;A469-6,$A$5:$A$504,"&lt;="&amp;A469),""))</f>
        <v/>
      </c>
      <c r="D469" s="17" t="str">
        <f aca="false">IF(OR(C469="",COUNTIFS($A$5:$A$504,"&gt;="&amp;A469-13,$A$5:$A$504,"&lt;="&amp;A469-7)=0),"",C469-AVERAGEIFS($B$5:$B$504,$A$5:$A$504,"&gt;="&amp;A469-13,$A$5:$A$504,"&lt;="&amp;A469-7))</f>
        <v/>
      </c>
      <c r="E469" s="18" t="str">
        <f aca="false">IF(D469="","",IF(AND(D469&gt;=0.2,D469&lt;=0.35),"On target — change nothing",IF(D469&lt;0.2,"Gaining too slowly — add 200 kcal to training days","Gaining too fast — cut 200 kcal from training days")))</f>
        <v/>
      </c>
    </row>
    <row r="470" customFormat="false" ht="15" hidden="false" customHeight="false" outlineLevel="0" collapsed="false">
      <c r="A470" s="19"/>
      <c r="B470" s="20"/>
      <c r="C470" s="16" t="str">
        <f aca="false">IF(B470="","",IFERROR(AVERAGEIFS($B$5:$B$504,$A$5:$A$504,"&gt;="&amp;A470-6,$A$5:$A$504,"&lt;="&amp;A470),""))</f>
        <v/>
      </c>
      <c r="D470" s="17" t="str">
        <f aca="false">IF(OR(C470="",COUNTIFS($A$5:$A$504,"&gt;="&amp;A470-13,$A$5:$A$504,"&lt;="&amp;A470-7)=0),"",C470-AVERAGEIFS($B$5:$B$504,$A$5:$A$504,"&gt;="&amp;A470-13,$A$5:$A$504,"&lt;="&amp;A470-7))</f>
        <v/>
      </c>
      <c r="E470" s="18" t="str">
        <f aca="false">IF(D470="","",IF(AND(D470&gt;=0.2,D470&lt;=0.35),"On target — change nothing",IF(D470&lt;0.2,"Gaining too slowly — add 200 kcal to training days","Gaining too fast — cut 200 kcal from training days")))</f>
        <v/>
      </c>
    </row>
    <row r="471" customFormat="false" ht="15" hidden="false" customHeight="false" outlineLevel="0" collapsed="false">
      <c r="A471" s="19"/>
      <c r="B471" s="20"/>
      <c r="C471" s="16" t="str">
        <f aca="false">IF(B471="","",IFERROR(AVERAGEIFS($B$5:$B$504,$A$5:$A$504,"&gt;="&amp;A471-6,$A$5:$A$504,"&lt;="&amp;A471),""))</f>
        <v/>
      </c>
      <c r="D471" s="17" t="str">
        <f aca="false">IF(OR(C471="",COUNTIFS($A$5:$A$504,"&gt;="&amp;A471-13,$A$5:$A$504,"&lt;="&amp;A471-7)=0),"",C471-AVERAGEIFS($B$5:$B$504,$A$5:$A$504,"&gt;="&amp;A471-13,$A$5:$A$504,"&lt;="&amp;A471-7))</f>
        <v/>
      </c>
      <c r="E471" s="18" t="str">
        <f aca="false">IF(D471="","",IF(AND(D471&gt;=0.2,D471&lt;=0.35),"On target — change nothing",IF(D471&lt;0.2,"Gaining too slowly — add 200 kcal to training days","Gaining too fast — cut 200 kcal from training days")))</f>
        <v/>
      </c>
    </row>
    <row r="472" customFormat="false" ht="15" hidden="false" customHeight="false" outlineLevel="0" collapsed="false">
      <c r="A472" s="19"/>
      <c r="B472" s="20"/>
      <c r="C472" s="16" t="str">
        <f aca="false">IF(B472="","",IFERROR(AVERAGEIFS($B$5:$B$504,$A$5:$A$504,"&gt;="&amp;A472-6,$A$5:$A$504,"&lt;="&amp;A472),""))</f>
        <v/>
      </c>
      <c r="D472" s="17" t="str">
        <f aca="false">IF(OR(C472="",COUNTIFS($A$5:$A$504,"&gt;="&amp;A472-13,$A$5:$A$504,"&lt;="&amp;A472-7)=0),"",C472-AVERAGEIFS($B$5:$B$504,$A$5:$A$504,"&gt;="&amp;A472-13,$A$5:$A$504,"&lt;="&amp;A472-7))</f>
        <v/>
      </c>
      <c r="E472" s="18" t="str">
        <f aca="false">IF(D472="","",IF(AND(D472&gt;=0.2,D472&lt;=0.35),"On target — change nothing",IF(D472&lt;0.2,"Gaining too slowly — add 200 kcal to training days","Gaining too fast — cut 200 kcal from training days")))</f>
        <v/>
      </c>
    </row>
    <row r="473" customFormat="false" ht="15" hidden="false" customHeight="false" outlineLevel="0" collapsed="false">
      <c r="A473" s="19"/>
      <c r="B473" s="20"/>
      <c r="C473" s="16" t="str">
        <f aca="false">IF(B473="","",IFERROR(AVERAGEIFS($B$5:$B$504,$A$5:$A$504,"&gt;="&amp;A473-6,$A$5:$A$504,"&lt;="&amp;A473),""))</f>
        <v/>
      </c>
      <c r="D473" s="17" t="str">
        <f aca="false">IF(OR(C473="",COUNTIFS($A$5:$A$504,"&gt;="&amp;A473-13,$A$5:$A$504,"&lt;="&amp;A473-7)=0),"",C473-AVERAGEIFS($B$5:$B$504,$A$5:$A$504,"&gt;="&amp;A473-13,$A$5:$A$504,"&lt;="&amp;A473-7))</f>
        <v/>
      </c>
      <c r="E473" s="18" t="str">
        <f aca="false">IF(D473="","",IF(AND(D473&gt;=0.2,D473&lt;=0.35),"On target — change nothing",IF(D473&lt;0.2,"Gaining too slowly — add 200 kcal to training days","Gaining too fast — cut 200 kcal from training days")))</f>
        <v/>
      </c>
    </row>
    <row r="474" customFormat="false" ht="15" hidden="false" customHeight="false" outlineLevel="0" collapsed="false">
      <c r="A474" s="19"/>
      <c r="B474" s="20"/>
      <c r="C474" s="16" t="str">
        <f aca="false">IF(B474="","",IFERROR(AVERAGEIFS($B$5:$B$504,$A$5:$A$504,"&gt;="&amp;A474-6,$A$5:$A$504,"&lt;="&amp;A474),""))</f>
        <v/>
      </c>
      <c r="D474" s="17" t="str">
        <f aca="false">IF(OR(C474="",COUNTIFS($A$5:$A$504,"&gt;="&amp;A474-13,$A$5:$A$504,"&lt;="&amp;A474-7)=0),"",C474-AVERAGEIFS($B$5:$B$504,$A$5:$A$504,"&gt;="&amp;A474-13,$A$5:$A$504,"&lt;="&amp;A474-7))</f>
        <v/>
      </c>
      <c r="E474" s="18" t="str">
        <f aca="false">IF(D474="","",IF(AND(D474&gt;=0.2,D474&lt;=0.35),"On target — change nothing",IF(D474&lt;0.2,"Gaining too slowly — add 200 kcal to training days","Gaining too fast — cut 200 kcal from training days")))</f>
        <v/>
      </c>
    </row>
    <row r="475" customFormat="false" ht="15" hidden="false" customHeight="false" outlineLevel="0" collapsed="false">
      <c r="A475" s="19"/>
      <c r="B475" s="20"/>
      <c r="C475" s="16" t="str">
        <f aca="false">IF(B475="","",IFERROR(AVERAGEIFS($B$5:$B$504,$A$5:$A$504,"&gt;="&amp;A475-6,$A$5:$A$504,"&lt;="&amp;A475),""))</f>
        <v/>
      </c>
      <c r="D475" s="17" t="str">
        <f aca="false">IF(OR(C475="",COUNTIFS($A$5:$A$504,"&gt;="&amp;A475-13,$A$5:$A$504,"&lt;="&amp;A475-7)=0),"",C475-AVERAGEIFS($B$5:$B$504,$A$5:$A$504,"&gt;="&amp;A475-13,$A$5:$A$504,"&lt;="&amp;A475-7))</f>
        <v/>
      </c>
      <c r="E475" s="18" t="str">
        <f aca="false">IF(D475="","",IF(AND(D475&gt;=0.2,D475&lt;=0.35),"On target — change nothing",IF(D475&lt;0.2,"Gaining too slowly — add 200 kcal to training days","Gaining too fast — cut 200 kcal from training days")))</f>
        <v/>
      </c>
    </row>
    <row r="476" customFormat="false" ht="15" hidden="false" customHeight="false" outlineLevel="0" collapsed="false">
      <c r="A476" s="19"/>
      <c r="B476" s="20"/>
      <c r="C476" s="16" t="str">
        <f aca="false">IF(B476="","",IFERROR(AVERAGEIFS($B$5:$B$504,$A$5:$A$504,"&gt;="&amp;A476-6,$A$5:$A$504,"&lt;="&amp;A476),""))</f>
        <v/>
      </c>
      <c r="D476" s="17" t="str">
        <f aca="false">IF(OR(C476="",COUNTIFS($A$5:$A$504,"&gt;="&amp;A476-13,$A$5:$A$504,"&lt;="&amp;A476-7)=0),"",C476-AVERAGEIFS($B$5:$B$504,$A$5:$A$504,"&gt;="&amp;A476-13,$A$5:$A$504,"&lt;="&amp;A476-7))</f>
        <v/>
      </c>
      <c r="E476" s="18" t="str">
        <f aca="false">IF(D476="","",IF(AND(D476&gt;=0.2,D476&lt;=0.35),"On target — change nothing",IF(D476&lt;0.2,"Gaining too slowly — add 200 kcal to training days","Gaining too fast — cut 200 kcal from training days")))</f>
        <v/>
      </c>
    </row>
    <row r="477" customFormat="false" ht="15" hidden="false" customHeight="false" outlineLevel="0" collapsed="false">
      <c r="A477" s="19"/>
      <c r="B477" s="20"/>
      <c r="C477" s="16" t="str">
        <f aca="false">IF(B477="","",IFERROR(AVERAGEIFS($B$5:$B$504,$A$5:$A$504,"&gt;="&amp;A477-6,$A$5:$A$504,"&lt;="&amp;A477),""))</f>
        <v/>
      </c>
      <c r="D477" s="17" t="str">
        <f aca="false">IF(OR(C477="",COUNTIFS($A$5:$A$504,"&gt;="&amp;A477-13,$A$5:$A$504,"&lt;="&amp;A477-7)=0),"",C477-AVERAGEIFS($B$5:$B$504,$A$5:$A$504,"&gt;="&amp;A477-13,$A$5:$A$504,"&lt;="&amp;A477-7))</f>
        <v/>
      </c>
      <c r="E477" s="18" t="str">
        <f aca="false">IF(D477="","",IF(AND(D477&gt;=0.2,D477&lt;=0.35),"On target — change nothing",IF(D477&lt;0.2,"Gaining too slowly — add 200 kcal to training days","Gaining too fast — cut 200 kcal from training days")))</f>
        <v/>
      </c>
    </row>
    <row r="478" customFormat="false" ht="15" hidden="false" customHeight="false" outlineLevel="0" collapsed="false">
      <c r="A478" s="19"/>
      <c r="B478" s="20"/>
      <c r="C478" s="16" t="str">
        <f aca="false">IF(B478="","",IFERROR(AVERAGEIFS($B$5:$B$504,$A$5:$A$504,"&gt;="&amp;A478-6,$A$5:$A$504,"&lt;="&amp;A478),""))</f>
        <v/>
      </c>
      <c r="D478" s="17" t="str">
        <f aca="false">IF(OR(C478="",COUNTIFS($A$5:$A$504,"&gt;="&amp;A478-13,$A$5:$A$504,"&lt;="&amp;A478-7)=0),"",C478-AVERAGEIFS($B$5:$B$504,$A$5:$A$504,"&gt;="&amp;A478-13,$A$5:$A$504,"&lt;="&amp;A478-7))</f>
        <v/>
      </c>
      <c r="E478" s="18" t="str">
        <f aca="false">IF(D478="","",IF(AND(D478&gt;=0.2,D478&lt;=0.35),"On target — change nothing",IF(D478&lt;0.2,"Gaining too slowly — add 200 kcal to training days","Gaining too fast — cut 200 kcal from training days")))</f>
        <v/>
      </c>
    </row>
    <row r="479" customFormat="false" ht="15" hidden="false" customHeight="false" outlineLevel="0" collapsed="false">
      <c r="A479" s="19"/>
      <c r="B479" s="20"/>
      <c r="C479" s="16" t="str">
        <f aca="false">IF(B479="","",IFERROR(AVERAGEIFS($B$5:$B$504,$A$5:$A$504,"&gt;="&amp;A479-6,$A$5:$A$504,"&lt;="&amp;A479),""))</f>
        <v/>
      </c>
      <c r="D479" s="17" t="str">
        <f aca="false">IF(OR(C479="",COUNTIFS($A$5:$A$504,"&gt;="&amp;A479-13,$A$5:$A$504,"&lt;="&amp;A479-7)=0),"",C479-AVERAGEIFS($B$5:$B$504,$A$5:$A$504,"&gt;="&amp;A479-13,$A$5:$A$504,"&lt;="&amp;A479-7))</f>
        <v/>
      </c>
      <c r="E479" s="18" t="str">
        <f aca="false">IF(D479="","",IF(AND(D479&gt;=0.2,D479&lt;=0.35),"On target — change nothing",IF(D479&lt;0.2,"Gaining too slowly — add 200 kcal to training days","Gaining too fast — cut 200 kcal from training days")))</f>
        <v/>
      </c>
    </row>
    <row r="480" customFormat="false" ht="15" hidden="false" customHeight="false" outlineLevel="0" collapsed="false">
      <c r="A480" s="19"/>
      <c r="B480" s="20"/>
      <c r="C480" s="16" t="str">
        <f aca="false">IF(B480="","",IFERROR(AVERAGEIFS($B$5:$B$504,$A$5:$A$504,"&gt;="&amp;A480-6,$A$5:$A$504,"&lt;="&amp;A480),""))</f>
        <v/>
      </c>
      <c r="D480" s="17" t="str">
        <f aca="false">IF(OR(C480="",COUNTIFS($A$5:$A$504,"&gt;="&amp;A480-13,$A$5:$A$504,"&lt;="&amp;A480-7)=0),"",C480-AVERAGEIFS($B$5:$B$504,$A$5:$A$504,"&gt;="&amp;A480-13,$A$5:$A$504,"&lt;="&amp;A480-7))</f>
        <v/>
      </c>
      <c r="E480" s="18" t="str">
        <f aca="false">IF(D480="","",IF(AND(D480&gt;=0.2,D480&lt;=0.35),"On target — change nothing",IF(D480&lt;0.2,"Gaining too slowly — add 200 kcal to training days","Gaining too fast — cut 200 kcal from training days")))</f>
        <v/>
      </c>
    </row>
    <row r="481" customFormat="false" ht="15" hidden="false" customHeight="false" outlineLevel="0" collapsed="false">
      <c r="A481" s="19"/>
      <c r="B481" s="20"/>
      <c r="C481" s="16" t="str">
        <f aca="false">IF(B481="","",IFERROR(AVERAGEIFS($B$5:$B$504,$A$5:$A$504,"&gt;="&amp;A481-6,$A$5:$A$504,"&lt;="&amp;A481),""))</f>
        <v/>
      </c>
      <c r="D481" s="17" t="str">
        <f aca="false">IF(OR(C481="",COUNTIFS($A$5:$A$504,"&gt;="&amp;A481-13,$A$5:$A$504,"&lt;="&amp;A481-7)=0),"",C481-AVERAGEIFS($B$5:$B$504,$A$5:$A$504,"&gt;="&amp;A481-13,$A$5:$A$504,"&lt;="&amp;A481-7))</f>
        <v/>
      </c>
      <c r="E481" s="18" t="str">
        <f aca="false">IF(D481="","",IF(AND(D481&gt;=0.2,D481&lt;=0.35),"On target — change nothing",IF(D481&lt;0.2,"Gaining too slowly — add 200 kcal to training days","Gaining too fast — cut 200 kcal from training days")))</f>
        <v/>
      </c>
    </row>
    <row r="482" customFormat="false" ht="15" hidden="false" customHeight="false" outlineLevel="0" collapsed="false">
      <c r="A482" s="19"/>
      <c r="B482" s="20"/>
      <c r="C482" s="16" t="str">
        <f aca="false">IF(B482="","",IFERROR(AVERAGEIFS($B$5:$B$504,$A$5:$A$504,"&gt;="&amp;A482-6,$A$5:$A$504,"&lt;="&amp;A482),""))</f>
        <v/>
      </c>
      <c r="D482" s="17" t="str">
        <f aca="false">IF(OR(C482="",COUNTIFS($A$5:$A$504,"&gt;="&amp;A482-13,$A$5:$A$504,"&lt;="&amp;A482-7)=0),"",C482-AVERAGEIFS($B$5:$B$504,$A$5:$A$504,"&gt;="&amp;A482-13,$A$5:$A$504,"&lt;="&amp;A482-7))</f>
        <v/>
      </c>
      <c r="E482" s="18" t="str">
        <f aca="false">IF(D482="","",IF(AND(D482&gt;=0.2,D482&lt;=0.35),"On target — change nothing",IF(D482&lt;0.2,"Gaining too slowly — add 200 kcal to training days","Gaining too fast — cut 200 kcal from training days")))</f>
        <v/>
      </c>
    </row>
    <row r="483" customFormat="false" ht="15" hidden="false" customHeight="false" outlineLevel="0" collapsed="false">
      <c r="A483" s="19"/>
      <c r="B483" s="20"/>
      <c r="C483" s="16" t="str">
        <f aca="false">IF(B483="","",IFERROR(AVERAGEIFS($B$5:$B$504,$A$5:$A$504,"&gt;="&amp;A483-6,$A$5:$A$504,"&lt;="&amp;A483),""))</f>
        <v/>
      </c>
      <c r="D483" s="17" t="str">
        <f aca="false">IF(OR(C483="",COUNTIFS($A$5:$A$504,"&gt;="&amp;A483-13,$A$5:$A$504,"&lt;="&amp;A483-7)=0),"",C483-AVERAGEIFS($B$5:$B$504,$A$5:$A$504,"&gt;="&amp;A483-13,$A$5:$A$504,"&lt;="&amp;A483-7))</f>
        <v/>
      </c>
      <c r="E483" s="18" t="str">
        <f aca="false">IF(D483="","",IF(AND(D483&gt;=0.2,D483&lt;=0.35),"On target — change nothing",IF(D483&lt;0.2,"Gaining too slowly — add 200 kcal to training days","Gaining too fast — cut 200 kcal from training days")))</f>
        <v/>
      </c>
    </row>
    <row r="484" customFormat="false" ht="15" hidden="false" customHeight="false" outlineLevel="0" collapsed="false">
      <c r="A484" s="19"/>
      <c r="B484" s="20"/>
      <c r="C484" s="16" t="str">
        <f aca="false">IF(B484="","",IFERROR(AVERAGEIFS($B$5:$B$504,$A$5:$A$504,"&gt;="&amp;A484-6,$A$5:$A$504,"&lt;="&amp;A484),""))</f>
        <v/>
      </c>
      <c r="D484" s="17" t="str">
        <f aca="false">IF(OR(C484="",COUNTIFS($A$5:$A$504,"&gt;="&amp;A484-13,$A$5:$A$504,"&lt;="&amp;A484-7)=0),"",C484-AVERAGEIFS($B$5:$B$504,$A$5:$A$504,"&gt;="&amp;A484-13,$A$5:$A$504,"&lt;="&amp;A484-7))</f>
        <v/>
      </c>
      <c r="E484" s="18" t="str">
        <f aca="false">IF(D484="","",IF(AND(D484&gt;=0.2,D484&lt;=0.35),"On target — change nothing",IF(D484&lt;0.2,"Gaining too slowly — add 200 kcal to training days","Gaining too fast — cut 200 kcal from training days")))</f>
        <v/>
      </c>
    </row>
    <row r="485" customFormat="false" ht="15" hidden="false" customHeight="false" outlineLevel="0" collapsed="false">
      <c r="A485" s="19"/>
      <c r="B485" s="20"/>
      <c r="C485" s="16" t="str">
        <f aca="false">IF(B485="","",IFERROR(AVERAGEIFS($B$5:$B$504,$A$5:$A$504,"&gt;="&amp;A485-6,$A$5:$A$504,"&lt;="&amp;A485),""))</f>
        <v/>
      </c>
      <c r="D485" s="17" t="str">
        <f aca="false">IF(OR(C485="",COUNTIFS($A$5:$A$504,"&gt;="&amp;A485-13,$A$5:$A$504,"&lt;="&amp;A485-7)=0),"",C485-AVERAGEIFS($B$5:$B$504,$A$5:$A$504,"&gt;="&amp;A485-13,$A$5:$A$504,"&lt;="&amp;A485-7))</f>
        <v/>
      </c>
      <c r="E485" s="18" t="str">
        <f aca="false">IF(D485="","",IF(AND(D485&gt;=0.2,D485&lt;=0.35),"On target — change nothing",IF(D485&lt;0.2,"Gaining too slowly — add 200 kcal to training days","Gaining too fast — cut 200 kcal from training days")))</f>
        <v/>
      </c>
    </row>
    <row r="486" customFormat="false" ht="15" hidden="false" customHeight="false" outlineLevel="0" collapsed="false">
      <c r="A486" s="19"/>
      <c r="B486" s="20"/>
      <c r="C486" s="16" t="str">
        <f aca="false">IF(B486="","",IFERROR(AVERAGEIFS($B$5:$B$504,$A$5:$A$504,"&gt;="&amp;A486-6,$A$5:$A$504,"&lt;="&amp;A486),""))</f>
        <v/>
      </c>
      <c r="D486" s="17" t="str">
        <f aca="false">IF(OR(C486="",COUNTIFS($A$5:$A$504,"&gt;="&amp;A486-13,$A$5:$A$504,"&lt;="&amp;A486-7)=0),"",C486-AVERAGEIFS($B$5:$B$504,$A$5:$A$504,"&gt;="&amp;A486-13,$A$5:$A$504,"&lt;="&amp;A486-7))</f>
        <v/>
      </c>
      <c r="E486" s="18" t="str">
        <f aca="false">IF(D486="","",IF(AND(D486&gt;=0.2,D486&lt;=0.35),"On target — change nothing",IF(D486&lt;0.2,"Gaining too slowly — add 200 kcal to training days","Gaining too fast — cut 200 kcal from training days")))</f>
        <v/>
      </c>
    </row>
    <row r="487" customFormat="false" ht="15" hidden="false" customHeight="false" outlineLevel="0" collapsed="false">
      <c r="A487" s="19"/>
      <c r="B487" s="20"/>
      <c r="C487" s="16" t="str">
        <f aca="false">IF(B487="","",IFERROR(AVERAGEIFS($B$5:$B$504,$A$5:$A$504,"&gt;="&amp;A487-6,$A$5:$A$504,"&lt;="&amp;A487),""))</f>
        <v/>
      </c>
      <c r="D487" s="17" t="str">
        <f aca="false">IF(OR(C487="",COUNTIFS($A$5:$A$504,"&gt;="&amp;A487-13,$A$5:$A$504,"&lt;="&amp;A487-7)=0),"",C487-AVERAGEIFS($B$5:$B$504,$A$5:$A$504,"&gt;="&amp;A487-13,$A$5:$A$504,"&lt;="&amp;A487-7))</f>
        <v/>
      </c>
      <c r="E487" s="18" t="str">
        <f aca="false">IF(D487="","",IF(AND(D487&gt;=0.2,D487&lt;=0.35),"On target — change nothing",IF(D487&lt;0.2,"Gaining too slowly — add 200 kcal to training days","Gaining too fast — cut 200 kcal from training days")))</f>
        <v/>
      </c>
    </row>
    <row r="488" customFormat="false" ht="15" hidden="false" customHeight="false" outlineLevel="0" collapsed="false">
      <c r="A488" s="19"/>
      <c r="B488" s="20"/>
      <c r="C488" s="16" t="str">
        <f aca="false">IF(B488="","",IFERROR(AVERAGEIFS($B$5:$B$504,$A$5:$A$504,"&gt;="&amp;A488-6,$A$5:$A$504,"&lt;="&amp;A488),""))</f>
        <v/>
      </c>
      <c r="D488" s="17" t="str">
        <f aca="false">IF(OR(C488="",COUNTIFS($A$5:$A$504,"&gt;="&amp;A488-13,$A$5:$A$504,"&lt;="&amp;A488-7)=0),"",C488-AVERAGEIFS($B$5:$B$504,$A$5:$A$504,"&gt;="&amp;A488-13,$A$5:$A$504,"&lt;="&amp;A488-7))</f>
        <v/>
      </c>
      <c r="E488" s="18" t="str">
        <f aca="false">IF(D488="","",IF(AND(D488&gt;=0.2,D488&lt;=0.35),"On target — change nothing",IF(D488&lt;0.2,"Gaining too slowly — add 200 kcal to training days","Gaining too fast — cut 200 kcal from training days")))</f>
        <v/>
      </c>
    </row>
    <row r="489" customFormat="false" ht="15" hidden="false" customHeight="false" outlineLevel="0" collapsed="false">
      <c r="A489" s="19"/>
      <c r="B489" s="20"/>
      <c r="C489" s="16" t="str">
        <f aca="false">IF(B489="","",IFERROR(AVERAGEIFS($B$5:$B$504,$A$5:$A$504,"&gt;="&amp;A489-6,$A$5:$A$504,"&lt;="&amp;A489),""))</f>
        <v/>
      </c>
      <c r="D489" s="17" t="str">
        <f aca="false">IF(OR(C489="",COUNTIFS($A$5:$A$504,"&gt;="&amp;A489-13,$A$5:$A$504,"&lt;="&amp;A489-7)=0),"",C489-AVERAGEIFS($B$5:$B$504,$A$5:$A$504,"&gt;="&amp;A489-13,$A$5:$A$504,"&lt;="&amp;A489-7))</f>
        <v/>
      </c>
      <c r="E489" s="18" t="str">
        <f aca="false">IF(D489="","",IF(AND(D489&gt;=0.2,D489&lt;=0.35),"On target — change nothing",IF(D489&lt;0.2,"Gaining too slowly — add 200 kcal to training days","Gaining too fast — cut 200 kcal from training days")))</f>
        <v/>
      </c>
    </row>
    <row r="490" customFormat="false" ht="15" hidden="false" customHeight="false" outlineLevel="0" collapsed="false">
      <c r="A490" s="19"/>
      <c r="B490" s="20"/>
      <c r="C490" s="16" t="str">
        <f aca="false">IF(B490="","",IFERROR(AVERAGEIFS($B$5:$B$504,$A$5:$A$504,"&gt;="&amp;A490-6,$A$5:$A$504,"&lt;="&amp;A490),""))</f>
        <v/>
      </c>
      <c r="D490" s="17" t="str">
        <f aca="false">IF(OR(C490="",COUNTIFS($A$5:$A$504,"&gt;="&amp;A490-13,$A$5:$A$504,"&lt;="&amp;A490-7)=0),"",C490-AVERAGEIFS($B$5:$B$504,$A$5:$A$504,"&gt;="&amp;A490-13,$A$5:$A$504,"&lt;="&amp;A490-7))</f>
        <v/>
      </c>
      <c r="E490" s="18" t="str">
        <f aca="false">IF(D490="","",IF(AND(D490&gt;=0.2,D490&lt;=0.35),"On target — change nothing",IF(D490&lt;0.2,"Gaining too slowly — add 200 kcal to training days","Gaining too fast — cut 200 kcal from training days")))</f>
        <v/>
      </c>
    </row>
    <row r="491" customFormat="false" ht="15" hidden="false" customHeight="false" outlineLevel="0" collapsed="false">
      <c r="A491" s="19"/>
      <c r="B491" s="20"/>
      <c r="C491" s="16" t="str">
        <f aca="false">IF(B491="","",IFERROR(AVERAGEIFS($B$5:$B$504,$A$5:$A$504,"&gt;="&amp;A491-6,$A$5:$A$504,"&lt;="&amp;A491),""))</f>
        <v/>
      </c>
      <c r="D491" s="17" t="str">
        <f aca="false">IF(OR(C491="",COUNTIFS($A$5:$A$504,"&gt;="&amp;A491-13,$A$5:$A$504,"&lt;="&amp;A491-7)=0),"",C491-AVERAGEIFS($B$5:$B$504,$A$5:$A$504,"&gt;="&amp;A491-13,$A$5:$A$504,"&lt;="&amp;A491-7))</f>
        <v/>
      </c>
      <c r="E491" s="18" t="str">
        <f aca="false">IF(D491="","",IF(AND(D491&gt;=0.2,D491&lt;=0.35),"On target — change nothing",IF(D491&lt;0.2,"Gaining too slowly — add 200 kcal to training days","Gaining too fast — cut 200 kcal from training days")))</f>
        <v/>
      </c>
    </row>
    <row r="492" customFormat="false" ht="15" hidden="false" customHeight="false" outlineLevel="0" collapsed="false">
      <c r="A492" s="19"/>
      <c r="B492" s="20"/>
      <c r="C492" s="16" t="str">
        <f aca="false">IF(B492="","",IFERROR(AVERAGEIFS($B$5:$B$504,$A$5:$A$504,"&gt;="&amp;A492-6,$A$5:$A$504,"&lt;="&amp;A492),""))</f>
        <v/>
      </c>
      <c r="D492" s="17" t="str">
        <f aca="false">IF(OR(C492="",COUNTIFS($A$5:$A$504,"&gt;="&amp;A492-13,$A$5:$A$504,"&lt;="&amp;A492-7)=0),"",C492-AVERAGEIFS($B$5:$B$504,$A$5:$A$504,"&gt;="&amp;A492-13,$A$5:$A$504,"&lt;="&amp;A492-7))</f>
        <v/>
      </c>
      <c r="E492" s="18" t="str">
        <f aca="false">IF(D492="","",IF(AND(D492&gt;=0.2,D492&lt;=0.35),"On target — change nothing",IF(D492&lt;0.2,"Gaining too slowly — add 200 kcal to training days","Gaining too fast — cut 200 kcal from training days")))</f>
        <v/>
      </c>
    </row>
    <row r="493" customFormat="false" ht="15" hidden="false" customHeight="false" outlineLevel="0" collapsed="false">
      <c r="A493" s="19"/>
      <c r="B493" s="20"/>
      <c r="C493" s="16" t="str">
        <f aca="false">IF(B493="","",IFERROR(AVERAGEIFS($B$5:$B$504,$A$5:$A$504,"&gt;="&amp;A493-6,$A$5:$A$504,"&lt;="&amp;A493),""))</f>
        <v/>
      </c>
      <c r="D493" s="17" t="str">
        <f aca="false">IF(OR(C493="",COUNTIFS($A$5:$A$504,"&gt;="&amp;A493-13,$A$5:$A$504,"&lt;="&amp;A493-7)=0),"",C493-AVERAGEIFS($B$5:$B$504,$A$5:$A$504,"&gt;="&amp;A493-13,$A$5:$A$504,"&lt;="&amp;A493-7))</f>
        <v/>
      </c>
      <c r="E493" s="18" t="str">
        <f aca="false">IF(D493="","",IF(AND(D493&gt;=0.2,D493&lt;=0.35),"On target — change nothing",IF(D493&lt;0.2,"Gaining too slowly — add 200 kcal to training days","Gaining too fast — cut 200 kcal from training days")))</f>
        <v/>
      </c>
    </row>
    <row r="494" customFormat="false" ht="15" hidden="false" customHeight="false" outlineLevel="0" collapsed="false">
      <c r="A494" s="19"/>
      <c r="B494" s="20"/>
      <c r="C494" s="16" t="str">
        <f aca="false">IF(B494="","",IFERROR(AVERAGEIFS($B$5:$B$504,$A$5:$A$504,"&gt;="&amp;A494-6,$A$5:$A$504,"&lt;="&amp;A494),""))</f>
        <v/>
      </c>
      <c r="D494" s="17" t="str">
        <f aca="false">IF(OR(C494="",COUNTIFS($A$5:$A$504,"&gt;="&amp;A494-13,$A$5:$A$504,"&lt;="&amp;A494-7)=0),"",C494-AVERAGEIFS($B$5:$B$504,$A$5:$A$504,"&gt;="&amp;A494-13,$A$5:$A$504,"&lt;="&amp;A494-7))</f>
        <v/>
      </c>
      <c r="E494" s="18" t="str">
        <f aca="false">IF(D494="","",IF(AND(D494&gt;=0.2,D494&lt;=0.35),"On target — change nothing",IF(D494&lt;0.2,"Gaining too slowly — add 200 kcal to training days","Gaining too fast — cut 200 kcal from training days")))</f>
        <v/>
      </c>
    </row>
    <row r="495" customFormat="false" ht="15" hidden="false" customHeight="false" outlineLevel="0" collapsed="false">
      <c r="A495" s="19"/>
      <c r="B495" s="20"/>
      <c r="C495" s="16" t="str">
        <f aca="false">IF(B495="","",IFERROR(AVERAGEIFS($B$5:$B$504,$A$5:$A$504,"&gt;="&amp;A495-6,$A$5:$A$504,"&lt;="&amp;A495),""))</f>
        <v/>
      </c>
      <c r="D495" s="17" t="str">
        <f aca="false">IF(OR(C495="",COUNTIFS($A$5:$A$504,"&gt;="&amp;A495-13,$A$5:$A$504,"&lt;="&amp;A495-7)=0),"",C495-AVERAGEIFS($B$5:$B$504,$A$5:$A$504,"&gt;="&amp;A495-13,$A$5:$A$504,"&lt;="&amp;A495-7))</f>
        <v/>
      </c>
      <c r="E495" s="18" t="str">
        <f aca="false">IF(D495="","",IF(AND(D495&gt;=0.2,D495&lt;=0.35),"On target — change nothing",IF(D495&lt;0.2,"Gaining too slowly — add 200 kcal to training days","Gaining too fast — cut 200 kcal from training days")))</f>
        <v/>
      </c>
    </row>
    <row r="496" customFormat="false" ht="15" hidden="false" customHeight="false" outlineLevel="0" collapsed="false">
      <c r="A496" s="19"/>
      <c r="B496" s="20"/>
      <c r="C496" s="16" t="str">
        <f aca="false">IF(B496="","",IFERROR(AVERAGEIFS($B$5:$B$504,$A$5:$A$504,"&gt;="&amp;A496-6,$A$5:$A$504,"&lt;="&amp;A496),""))</f>
        <v/>
      </c>
      <c r="D496" s="17" t="str">
        <f aca="false">IF(OR(C496="",COUNTIFS($A$5:$A$504,"&gt;="&amp;A496-13,$A$5:$A$504,"&lt;="&amp;A496-7)=0),"",C496-AVERAGEIFS($B$5:$B$504,$A$5:$A$504,"&gt;="&amp;A496-13,$A$5:$A$504,"&lt;="&amp;A496-7))</f>
        <v/>
      </c>
      <c r="E496" s="18" t="str">
        <f aca="false">IF(D496="","",IF(AND(D496&gt;=0.2,D496&lt;=0.35),"On target — change nothing",IF(D496&lt;0.2,"Gaining too slowly — add 200 kcal to training days","Gaining too fast — cut 200 kcal from training days")))</f>
        <v/>
      </c>
    </row>
    <row r="497" customFormat="false" ht="15" hidden="false" customHeight="false" outlineLevel="0" collapsed="false">
      <c r="A497" s="19"/>
      <c r="B497" s="20"/>
      <c r="C497" s="16" t="str">
        <f aca="false">IF(B497="","",IFERROR(AVERAGEIFS($B$5:$B$504,$A$5:$A$504,"&gt;="&amp;A497-6,$A$5:$A$504,"&lt;="&amp;A497),""))</f>
        <v/>
      </c>
      <c r="D497" s="17" t="str">
        <f aca="false">IF(OR(C497="",COUNTIFS($A$5:$A$504,"&gt;="&amp;A497-13,$A$5:$A$504,"&lt;="&amp;A497-7)=0),"",C497-AVERAGEIFS($B$5:$B$504,$A$5:$A$504,"&gt;="&amp;A497-13,$A$5:$A$504,"&lt;="&amp;A497-7))</f>
        <v/>
      </c>
      <c r="E497" s="18" t="str">
        <f aca="false">IF(D497="","",IF(AND(D497&gt;=0.2,D497&lt;=0.35),"On target — change nothing",IF(D497&lt;0.2,"Gaining too slowly — add 200 kcal to training days","Gaining too fast — cut 200 kcal from training days")))</f>
        <v/>
      </c>
    </row>
    <row r="498" customFormat="false" ht="15" hidden="false" customHeight="false" outlineLevel="0" collapsed="false">
      <c r="A498" s="19"/>
      <c r="B498" s="20"/>
      <c r="C498" s="16" t="str">
        <f aca="false">IF(B498="","",IFERROR(AVERAGEIFS($B$5:$B$504,$A$5:$A$504,"&gt;="&amp;A498-6,$A$5:$A$504,"&lt;="&amp;A498),""))</f>
        <v/>
      </c>
      <c r="D498" s="17" t="str">
        <f aca="false">IF(OR(C498="",COUNTIFS($A$5:$A$504,"&gt;="&amp;A498-13,$A$5:$A$504,"&lt;="&amp;A498-7)=0),"",C498-AVERAGEIFS($B$5:$B$504,$A$5:$A$504,"&gt;="&amp;A498-13,$A$5:$A$504,"&lt;="&amp;A498-7))</f>
        <v/>
      </c>
      <c r="E498" s="18" t="str">
        <f aca="false">IF(D498="","",IF(AND(D498&gt;=0.2,D498&lt;=0.35),"On target — change nothing",IF(D498&lt;0.2,"Gaining too slowly — add 200 kcal to training days","Gaining too fast — cut 200 kcal from training days")))</f>
        <v/>
      </c>
    </row>
    <row r="499" customFormat="false" ht="15" hidden="false" customHeight="false" outlineLevel="0" collapsed="false">
      <c r="A499" s="19"/>
      <c r="B499" s="20"/>
      <c r="C499" s="16" t="str">
        <f aca="false">IF(B499="","",IFERROR(AVERAGEIFS($B$5:$B$504,$A$5:$A$504,"&gt;="&amp;A499-6,$A$5:$A$504,"&lt;="&amp;A499),""))</f>
        <v/>
      </c>
      <c r="D499" s="17" t="str">
        <f aca="false">IF(OR(C499="",COUNTIFS($A$5:$A$504,"&gt;="&amp;A499-13,$A$5:$A$504,"&lt;="&amp;A499-7)=0),"",C499-AVERAGEIFS($B$5:$B$504,$A$5:$A$504,"&gt;="&amp;A499-13,$A$5:$A$504,"&lt;="&amp;A499-7))</f>
        <v/>
      </c>
      <c r="E499" s="18" t="str">
        <f aca="false">IF(D499="","",IF(AND(D499&gt;=0.2,D499&lt;=0.35),"On target — change nothing",IF(D499&lt;0.2,"Gaining too slowly — add 200 kcal to training days","Gaining too fast — cut 200 kcal from training days")))</f>
        <v/>
      </c>
    </row>
    <row r="500" customFormat="false" ht="15" hidden="false" customHeight="false" outlineLevel="0" collapsed="false">
      <c r="A500" s="19"/>
      <c r="B500" s="20"/>
      <c r="C500" s="16" t="str">
        <f aca="false">IF(B500="","",IFERROR(AVERAGEIFS($B$5:$B$504,$A$5:$A$504,"&gt;="&amp;A500-6,$A$5:$A$504,"&lt;="&amp;A500),""))</f>
        <v/>
      </c>
      <c r="D500" s="17" t="str">
        <f aca="false">IF(OR(C500="",COUNTIFS($A$5:$A$504,"&gt;="&amp;A500-13,$A$5:$A$504,"&lt;="&amp;A500-7)=0),"",C500-AVERAGEIFS($B$5:$B$504,$A$5:$A$504,"&gt;="&amp;A500-13,$A$5:$A$504,"&lt;="&amp;A500-7))</f>
        <v/>
      </c>
      <c r="E500" s="18" t="str">
        <f aca="false">IF(D500="","",IF(AND(D500&gt;=0.2,D500&lt;=0.35),"On target — change nothing",IF(D500&lt;0.2,"Gaining too slowly — add 200 kcal to training days","Gaining too fast — cut 200 kcal from training days")))</f>
        <v/>
      </c>
    </row>
    <row r="501" customFormat="false" ht="15" hidden="false" customHeight="false" outlineLevel="0" collapsed="false">
      <c r="A501" s="19"/>
      <c r="B501" s="20"/>
      <c r="C501" s="16" t="str">
        <f aca="false">IF(B501="","",IFERROR(AVERAGEIFS($B$5:$B$504,$A$5:$A$504,"&gt;="&amp;A501-6,$A$5:$A$504,"&lt;="&amp;A501),""))</f>
        <v/>
      </c>
      <c r="D501" s="17" t="str">
        <f aca="false">IF(OR(C501="",COUNTIFS($A$5:$A$504,"&gt;="&amp;A501-13,$A$5:$A$504,"&lt;="&amp;A501-7)=0),"",C501-AVERAGEIFS($B$5:$B$504,$A$5:$A$504,"&gt;="&amp;A501-13,$A$5:$A$504,"&lt;="&amp;A501-7))</f>
        <v/>
      </c>
      <c r="E501" s="18" t="str">
        <f aca="false">IF(D501="","",IF(AND(D501&gt;=0.2,D501&lt;=0.35),"On target — change nothing",IF(D501&lt;0.2,"Gaining too slowly — add 200 kcal to training days","Gaining too fast — cut 200 kcal from training days")))</f>
        <v/>
      </c>
    </row>
    <row r="502" customFormat="false" ht="15" hidden="false" customHeight="false" outlineLevel="0" collapsed="false">
      <c r="A502" s="19"/>
      <c r="B502" s="20"/>
      <c r="C502" s="16" t="str">
        <f aca="false">IF(B502="","",IFERROR(AVERAGEIFS($B$5:$B$504,$A$5:$A$504,"&gt;="&amp;A502-6,$A$5:$A$504,"&lt;="&amp;A502),""))</f>
        <v/>
      </c>
      <c r="D502" s="17" t="str">
        <f aca="false">IF(OR(C502="",COUNTIFS($A$5:$A$504,"&gt;="&amp;A502-13,$A$5:$A$504,"&lt;="&amp;A502-7)=0),"",C502-AVERAGEIFS($B$5:$B$504,$A$5:$A$504,"&gt;="&amp;A502-13,$A$5:$A$504,"&lt;="&amp;A502-7))</f>
        <v/>
      </c>
      <c r="E502" s="18" t="str">
        <f aca="false">IF(D502="","",IF(AND(D502&gt;=0.2,D502&lt;=0.35),"On target — change nothing",IF(D502&lt;0.2,"Gaining too slowly — add 200 kcal to training days","Gaining too fast — cut 200 kcal from training days")))</f>
        <v/>
      </c>
    </row>
    <row r="503" customFormat="false" ht="15" hidden="false" customHeight="false" outlineLevel="0" collapsed="false">
      <c r="A503" s="19"/>
      <c r="B503" s="20"/>
      <c r="C503" s="16" t="str">
        <f aca="false">IF(B503="","",IFERROR(AVERAGEIFS($B$5:$B$504,$A$5:$A$504,"&gt;="&amp;A503-6,$A$5:$A$504,"&lt;="&amp;A503),""))</f>
        <v/>
      </c>
      <c r="D503" s="17" t="str">
        <f aca="false">IF(OR(C503="",COUNTIFS($A$5:$A$504,"&gt;="&amp;A503-13,$A$5:$A$504,"&lt;="&amp;A503-7)=0),"",C503-AVERAGEIFS($B$5:$B$504,$A$5:$A$504,"&gt;="&amp;A503-13,$A$5:$A$504,"&lt;="&amp;A503-7))</f>
        <v/>
      </c>
      <c r="E503" s="18" t="str">
        <f aca="false">IF(D503="","",IF(AND(D503&gt;=0.2,D503&lt;=0.35),"On target — change nothing",IF(D503&lt;0.2,"Gaining too slowly — add 200 kcal to training days","Gaining too fast — cut 200 kcal from training days")))</f>
        <v/>
      </c>
    </row>
    <row r="504" customFormat="false" ht="15" hidden="false" customHeight="false" outlineLevel="0" collapsed="false">
      <c r="A504" s="19"/>
      <c r="B504" s="20"/>
      <c r="C504" s="16" t="str">
        <f aca="false">IF(B504="","",IFERROR(AVERAGEIFS($B$5:$B$504,$A$5:$A$504,"&gt;="&amp;A504-6,$A$5:$A$504,"&lt;="&amp;A504),""))</f>
        <v/>
      </c>
      <c r="D504" s="17" t="str">
        <f aca="false">IF(OR(C504="",COUNTIFS($A$5:$A$504,"&gt;="&amp;A504-13,$A$5:$A$504,"&lt;="&amp;A504-7)=0),"",C504-AVERAGEIFS($B$5:$B$504,$A$5:$A$504,"&gt;="&amp;A504-13,$A$5:$A$504,"&lt;="&amp;A504-7))</f>
        <v/>
      </c>
      <c r="E504" s="18" t="str">
        <f aca="false">IF(D504="","",IF(AND(D504&gt;=0.2,D504&lt;=0.35),"On target — change nothing",IF(D504&lt;0.2,"Gaining too slowly — add 200 kcal to training days","Gaining too fast — cut 200 kcal from training days")))</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17"/>
    <col collapsed="false" customWidth="true" hidden="false" outlineLevel="0" max="4" min="4" style="0" width="15"/>
    <col collapsed="false" customWidth="true" hidden="false" outlineLevel="0" max="5" min="5" style="0" width="12"/>
    <col collapsed="false" customWidth="true" hidden="false" outlineLevel="0" max="7" min="6" style="0" width="18"/>
  </cols>
  <sheetData>
    <row r="1" customFormat="false" ht="17.35" hidden="false" customHeight="false" outlineLevel="0" collapsed="false">
      <c r="A1" s="1" t="s">
        <v>37</v>
      </c>
    </row>
    <row r="2" customFormat="false" ht="15" hidden="false" customHeight="false" outlineLevel="0" collapsed="false">
      <c r="A2" s="4" t="s">
        <v>38</v>
      </c>
    </row>
    <row r="4" customFormat="false" ht="15" hidden="false" customHeight="false" outlineLevel="0" collapsed="false">
      <c r="A4" s="2" t="s">
        <v>39</v>
      </c>
      <c r="D4" s="21" t="s">
        <v>40</v>
      </c>
      <c r="E4" s="5" t="s">
        <v>41</v>
      </c>
    </row>
    <row r="6" customFormat="false" ht="27.75" hidden="false" customHeight="true" outlineLevel="0" collapsed="false">
      <c r="A6" s="6" t="s">
        <v>42</v>
      </c>
      <c r="B6" s="6" t="s">
        <v>43</v>
      </c>
      <c r="C6" s="6" t="s">
        <v>31</v>
      </c>
      <c r="D6" s="6" t="s">
        <v>44</v>
      </c>
      <c r="E6" s="6" t="s">
        <v>45</v>
      </c>
      <c r="F6" s="6" t="s">
        <v>46</v>
      </c>
      <c r="G6" s="6" t="s">
        <v>47</v>
      </c>
    </row>
    <row r="7" customFormat="false" ht="15" hidden="false" customHeight="false" outlineLevel="0" collapsed="false">
      <c r="A7" s="22" t="n">
        <v>1</v>
      </c>
      <c r="B7" s="23" t="n">
        <f aca="false">$D$4+7*(A7-1)</f>
        <v>46279</v>
      </c>
      <c r="C7" s="24" t="str">
        <f aca="false">IFERROR(IF(_xlfn.MAXIFS(Log!$E$5:$E$1004,Log!$C$5:$C$1004,"Bent-over row",Log!$A$5:$A$1004,"&gt;="&amp;$B7,Log!$A$5:$A$1004,"&lt;"&amp;$B7+7)=0,"",_xlfn.MAXIFS(Log!$E$5:$E$1004,Log!$C$5:$C$1004,"Bent-over row",Log!$A$5:$A$1004,"&gt;="&amp;$B7,Log!$A$5:$A$1004,"&lt;"&amp;$B7+7)),"")</f>
        <v/>
      </c>
      <c r="D7" s="24" t="str">
        <f aca="false">IFERROR(IF(_xlfn.MAXIFS(Log!$E$5:$E$1004,Log!$C$5:$C$1004,"Flat DB press",Log!$A$5:$A$1004,"&gt;="&amp;$B7,Log!$A$5:$A$1004,"&lt;"&amp;$B7+7)=0,"",_xlfn.MAXIFS(Log!$E$5:$E$1004,Log!$C$5:$C$1004,"Flat DB press",Log!$A$5:$A$1004,"&gt;="&amp;$B7,Log!$A$5:$A$1004,"&lt;"&amp;$B7+7)),"")</f>
        <v/>
      </c>
      <c r="E7" s="24" t="str">
        <f aca="false">IFERROR(IF(_xlfn.MAXIFS(Log!$E$5:$E$1004,Log!$C$5:$C$1004,"Squat",Log!$A$5:$A$1004,"&gt;="&amp;$B7,Log!$A$5:$A$1004,"&lt;"&amp;$B7+7)=0,"",_xlfn.MAXIFS(Log!$E$5:$E$1004,Log!$C$5:$C$1004,"Squat",Log!$A$5:$A$1004,"&gt;="&amp;$B7,Log!$A$5:$A$1004,"&lt;"&amp;$B7+7)),"")</f>
        <v/>
      </c>
      <c r="F7" s="24" t="str">
        <f aca="false">IFERROR(IF(_xlfn.MAXIFS(Log!$E$5:$E$1004,Log!$C$5:$C$1004,"Stiff-leg deadlift",Log!$A$5:$A$1004,"&gt;="&amp;$B7,Log!$A$5:$A$1004,"&lt;"&amp;$B7+7)=0,"",_xlfn.MAXIFS(Log!$E$5:$E$1004,Log!$C$5:$C$1004,"Stiff-leg deadlift",Log!$A$5:$A$1004,"&gt;="&amp;$B7,Log!$A$5:$A$1004,"&lt;"&amp;$B7+7)),"")</f>
        <v/>
      </c>
      <c r="G7" s="10" t="str">
        <f aca="false">IFERROR(IF(SUMIFS(Log!$G$5:$G$1004,Log!$A$5:$A$1004,"&gt;="&amp;$B7,Log!$A$5:$A$1004,"&lt;"&amp;$B7+7)=0,"",SUMIFS(Log!$G$5:$G$1004,Log!$A$5:$A$1004,"&gt;="&amp;$B7,Log!$A$5:$A$1004,"&lt;"&amp;$B7+7)),"")</f>
        <v/>
      </c>
    </row>
    <row r="8" customFormat="false" ht="15" hidden="false" customHeight="false" outlineLevel="0" collapsed="false">
      <c r="A8" s="25" t="n">
        <v>2</v>
      </c>
      <c r="B8" s="26" t="n">
        <f aca="false">$D$4+7*(A8-1)</f>
        <v>46286</v>
      </c>
      <c r="C8" s="27" t="str">
        <f aca="false">IFERROR(IF(_xlfn.MAXIFS(Log!$E$5:$E$1004,Log!$C$5:$C$1004,"Bent-over row",Log!$A$5:$A$1004,"&gt;="&amp;$B8,Log!$A$5:$A$1004,"&lt;"&amp;$B8+7)=0,"",_xlfn.MAXIFS(Log!$E$5:$E$1004,Log!$C$5:$C$1004,"Bent-over row",Log!$A$5:$A$1004,"&gt;="&amp;$B8,Log!$A$5:$A$1004,"&lt;"&amp;$B8+7)),"")</f>
        <v/>
      </c>
      <c r="D8" s="27" t="str">
        <f aca="false">IFERROR(IF(_xlfn.MAXIFS(Log!$E$5:$E$1004,Log!$C$5:$C$1004,"Flat DB press",Log!$A$5:$A$1004,"&gt;="&amp;$B8,Log!$A$5:$A$1004,"&lt;"&amp;$B8+7)=0,"",_xlfn.MAXIFS(Log!$E$5:$E$1004,Log!$C$5:$C$1004,"Flat DB press",Log!$A$5:$A$1004,"&gt;="&amp;$B8,Log!$A$5:$A$1004,"&lt;"&amp;$B8+7)),"")</f>
        <v/>
      </c>
      <c r="E8" s="27" t="str">
        <f aca="false">IFERROR(IF(_xlfn.MAXIFS(Log!$E$5:$E$1004,Log!$C$5:$C$1004,"Squat",Log!$A$5:$A$1004,"&gt;="&amp;$B8,Log!$A$5:$A$1004,"&lt;"&amp;$B8+7)=0,"",_xlfn.MAXIFS(Log!$E$5:$E$1004,Log!$C$5:$C$1004,"Squat",Log!$A$5:$A$1004,"&gt;="&amp;$B8,Log!$A$5:$A$1004,"&lt;"&amp;$B8+7)),"")</f>
        <v/>
      </c>
      <c r="F8" s="27" t="str">
        <f aca="false">IFERROR(IF(_xlfn.MAXIFS(Log!$E$5:$E$1004,Log!$C$5:$C$1004,"Stiff-leg deadlift",Log!$A$5:$A$1004,"&gt;="&amp;$B8,Log!$A$5:$A$1004,"&lt;"&amp;$B8+7)=0,"",_xlfn.MAXIFS(Log!$E$5:$E$1004,Log!$C$5:$C$1004,"Stiff-leg deadlift",Log!$A$5:$A$1004,"&gt;="&amp;$B8,Log!$A$5:$A$1004,"&lt;"&amp;$B8+7)),"")</f>
        <v/>
      </c>
      <c r="G8" s="28" t="str">
        <f aca="false">IFERROR(IF(SUMIFS(Log!$G$5:$G$1004,Log!$A$5:$A$1004,"&gt;="&amp;$B8,Log!$A$5:$A$1004,"&lt;"&amp;$B8+7)=0,"",SUMIFS(Log!$G$5:$G$1004,Log!$A$5:$A$1004,"&gt;="&amp;$B8,Log!$A$5:$A$1004,"&lt;"&amp;$B8+7)),"")</f>
        <v/>
      </c>
    </row>
    <row r="9" customFormat="false" ht="15" hidden="false" customHeight="false" outlineLevel="0" collapsed="false">
      <c r="A9" s="22" t="n">
        <v>3</v>
      </c>
      <c r="B9" s="23" t="n">
        <f aca="false">$D$4+7*(A9-1)</f>
        <v>46293</v>
      </c>
      <c r="C9" s="24" t="str">
        <f aca="false">IFERROR(IF(_xlfn.MAXIFS(Log!$E$5:$E$1004,Log!$C$5:$C$1004,"Bent-over row",Log!$A$5:$A$1004,"&gt;="&amp;$B9,Log!$A$5:$A$1004,"&lt;"&amp;$B9+7)=0,"",_xlfn.MAXIFS(Log!$E$5:$E$1004,Log!$C$5:$C$1004,"Bent-over row",Log!$A$5:$A$1004,"&gt;="&amp;$B9,Log!$A$5:$A$1004,"&lt;"&amp;$B9+7)),"")</f>
        <v/>
      </c>
      <c r="D9" s="24" t="str">
        <f aca="false">IFERROR(IF(_xlfn.MAXIFS(Log!$E$5:$E$1004,Log!$C$5:$C$1004,"Flat DB press",Log!$A$5:$A$1004,"&gt;="&amp;$B9,Log!$A$5:$A$1004,"&lt;"&amp;$B9+7)=0,"",_xlfn.MAXIFS(Log!$E$5:$E$1004,Log!$C$5:$C$1004,"Flat DB press",Log!$A$5:$A$1004,"&gt;="&amp;$B9,Log!$A$5:$A$1004,"&lt;"&amp;$B9+7)),"")</f>
        <v/>
      </c>
      <c r="E9" s="24" t="str">
        <f aca="false">IFERROR(IF(_xlfn.MAXIFS(Log!$E$5:$E$1004,Log!$C$5:$C$1004,"Squat",Log!$A$5:$A$1004,"&gt;="&amp;$B9,Log!$A$5:$A$1004,"&lt;"&amp;$B9+7)=0,"",_xlfn.MAXIFS(Log!$E$5:$E$1004,Log!$C$5:$C$1004,"Squat",Log!$A$5:$A$1004,"&gt;="&amp;$B9,Log!$A$5:$A$1004,"&lt;"&amp;$B9+7)),"")</f>
        <v/>
      </c>
      <c r="F9" s="24" t="str">
        <f aca="false">IFERROR(IF(_xlfn.MAXIFS(Log!$E$5:$E$1004,Log!$C$5:$C$1004,"Stiff-leg deadlift",Log!$A$5:$A$1004,"&gt;="&amp;$B9,Log!$A$5:$A$1004,"&lt;"&amp;$B9+7)=0,"",_xlfn.MAXIFS(Log!$E$5:$E$1004,Log!$C$5:$C$1004,"Stiff-leg deadlift",Log!$A$5:$A$1004,"&gt;="&amp;$B9,Log!$A$5:$A$1004,"&lt;"&amp;$B9+7)),"")</f>
        <v/>
      </c>
      <c r="G9" s="10" t="str">
        <f aca="false">IFERROR(IF(SUMIFS(Log!$G$5:$G$1004,Log!$A$5:$A$1004,"&gt;="&amp;$B9,Log!$A$5:$A$1004,"&lt;"&amp;$B9+7)=0,"",SUMIFS(Log!$G$5:$G$1004,Log!$A$5:$A$1004,"&gt;="&amp;$B9,Log!$A$5:$A$1004,"&lt;"&amp;$B9+7)),"")</f>
        <v/>
      </c>
    </row>
    <row r="10" customFormat="false" ht="15" hidden="false" customHeight="false" outlineLevel="0" collapsed="false">
      <c r="A10" s="25" t="n">
        <v>4</v>
      </c>
      <c r="B10" s="26" t="n">
        <f aca="false">$D$4+7*(A10-1)</f>
        <v>46300</v>
      </c>
      <c r="C10" s="27" t="str">
        <f aca="false">IFERROR(IF(_xlfn.MAXIFS(Log!$E$5:$E$1004,Log!$C$5:$C$1004,"Bent-over row",Log!$A$5:$A$1004,"&gt;="&amp;$B10,Log!$A$5:$A$1004,"&lt;"&amp;$B10+7)=0,"",_xlfn.MAXIFS(Log!$E$5:$E$1004,Log!$C$5:$C$1004,"Bent-over row",Log!$A$5:$A$1004,"&gt;="&amp;$B10,Log!$A$5:$A$1004,"&lt;"&amp;$B10+7)),"")</f>
        <v/>
      </c>
      <c r="D10" s="27" t="str">
        <f aca="false">IFERROR(IF(_xlfn.MAXIFS(Log!$E$5:$E$1004,Log!$C$5:$C$1004,"Flat DB press",Log!$A$5:$A$1004,"&gt;="&amp;$B10,Log!$A$5:$A$1004,"&lt;"&amp;$B10+7)=0,"",_xlfn.MAXIFS(Log!$E$5:$E$1004,Log!$C$5:$C$1004,"Flat DB press",Log!$A$5:$A$1004,"&gt;="&amp;$B10,Log!$A$5:$A$1004,"&lt;"&amp;$B10+7)),"")</f>
        <v/>
      </c>
      <c r="E10" s="27" t="str">
        <f aca="false">IFERROR(IF(_xlfn.MAXIFS(Log!$E$5:$E$1004,Log!$C$5:$C$1004,"Squat",Log!$A$5:$A$1004,"&gt;="&amp;$B10,Log!$A$5:$A$1004,"&lt;"&amp;$B10+7)=0,"",_xlfn.MAXIFS(Log!$E$5:$E$1004,Log!$C$5:$C$1004,"Squat",Log!$A$5:$A$1004,"&gt;="&amp;$B10,Log!$A$5:$A$1004,"&lt;"&amp;$B10+7)),"")</f>
        <v/>
      </c>
      <c r="F10" s="27" t="str">
        <f aca="false">IFERROR(IF(_xlfn.MAXIFS(Log!$E$5:$E$1004,Log!$C$5:$C$1004,"Stiff-leg deadlift",Log!$A$5:$A$1004,"&gt;="&amp;$B10,Log!$A$5:$A$1004,"&lt;"&amp;$B10+7)=0,"",_xlfn.MAXIFS(Log!$E$5:$E$1004,Log!$C$5:$C$1004,"Stiff-leg deadlift",Log!$A$5:$A$1004,"&gt;="&amp;$B10,Log!$A$5:$A$1004,"&lt;"&amp;$B10+7)),"")</f>
        <v/>
      </c>
      <c r="G10" s="28" t="str">
        <f aca="false">IFERROR(IF(SUMIFS(Log!$G$5:$G$1004,Log!$A$5:$A$1004,"&gt;="&amp;$B10,Log!$A$5:$A$1004,"&lt;"&amp;$B10+7)=0,"",SUMIFS(Log!$G$5:$G$1004,Log!$A$5:$A$1004,"&gt;="&amp;$B10,Log!$A$5:$A$1004,"&lt;"&amp;$B10+7)),"")</f>
        <v/>
      </c>
    </row>
    <row r="11" customFormat="false" ht="15" hidden="false" customHeight="false" outlineLevel="0" collapsed="false">
      <c r="A11" s="22" t="n">
        <v>5</v>
      </c>
      <c r="B11" s="23" t="n">
        <f aca="false">$D$4+7*(A11-1)</f>
        <v>46307</v>
      </c>
      <c r="C11" s="24" t="str">
        <f aca="false">IFERROR(IF(_xlfn.MAXIFS(Log!$E$5:$E$1004,Log!$C$5:$C$1004,"Bent-over row",Log!$A$5:$A$1004,"&gt;="&amp;$B11,Log!$A$5:$A$1004,"&lt;"&amp;$B11+7)=0,"",_xlfn.MAXIFS(Log!$E$5:$E$1004,Log!$C$5:$C$1004,"Bent-over row",Log!$A$5:$A$1004,"&gt;="&amp;$B11,Log!$A$5:$A$1004,"&lt;"&amp;$B11+7)),"")</f>
        <v/>
      </c>
      <c r="D11" s="24" t="str">
        <f aca="false">IFERROR(IF(_xlfn.MAXIFS(Log!$E$5:$E$1004,Log!$C$5:$C$1004,"Flat DB press",Log!$A$5:$A$1004,"&gt;="&amp;$B11,Log!$A$5:$A$1004,"&lt;"&amp;$B11+7)=0,"",_xlfn.MAXIFS(Log!$E$5:$E$1004,Log!$C$5:$C$1004,"Flat DB press",Log!$A$5:$A$1004,"&gt;="&amp;$B11,Log!$A$5:$A$1004,"&lt;"&amp;$B11+7)),"")</f>
        <v/>
      </c>
      <c r="E11" s="24" t="str">
        <f aca="false">IFERROR(IF(_xlfn.MAXIFS(Log!$E$5:$E$1004,Log!$C$5:$C$1004,"Squat",Log!$A$5:$A$1004,"&gt;="&amp;$B11,Log!$A$5:$A$1004,"&lt;"&amp;$B11+7)=0,"",_xlfn.MAXIFS(Log!$E$5:$E$1004,Log!$C$5:$C$1004,"Squat",Log!$A$5:$A$1004,"&gt;="&amp;$B11,Log!$A$5:$A$1004,"&lt;"&amp;$B11+7)),"")</f>
        <v/>
      </c>
      <c r="F11" s="24" t="str">
        <f aca="false">IFERROR(IF(_xlfn.MAXIFS(Log!$E$5:$E$1004,Log!$C$5:$C$1004,"Stiff-leg deadlift",Log!$A$5:$A$1004,"&gt;="&amp;$B11,Log!$A$5:$A$1004,"&lt;"&amp;$B11+7)=0,"",_xlfn.MAXIFS(Log!$E$5:$E$1004,Log!$C$5:$C$1004,"Stiff-leg deadlift",Log!$A$5:$A$1004,"&gt;="&amp;$B11,Log!$A$5:$A$1004,"&lt;"&amp;$B11+7)),"")</f>
        <v/>
      </c>
      <c r="G11" s="10" t="str">
        <f aca="false">IFERROR(IF(SUMIFS(Log!$G$5:$G$1004,Log!$A$5:$A$1004,"&gt;="&amp;$B11,Log!$A$5:$A$1004,"&lt;"&amp;$B11+7)=0,"",SUMIFS(Log!$G$5:$G$1004,Log!$A$5:$A$1004,"&gt;="&amp;$B11,Log!$A$5:$A$1004,"&lt;"&amp;$B11+7)),"")</f>
        <v/>
      </c>
    </row>
    <row r="12" customFormat="false" ht="15" hidden="false" customHeight="false" outlineLevel="0" collapsed="false">
      <c r="A12" s="25" t="n">
        <v>6</v>
      </c>
      <c r="B12" s="26" t="n">
        <f aca="false">$D$4+7*(A12-1)</f>
        <v>46314</v>
      </c>
      <c r="C12" s="27" t="str">
        <f aca="false">IFERROR(IF(_xlfn.MAXIFS(Log!$E$5:$E$1004,Log!$C$5:$C$1004,"Bent-over row",Log!$A$5:$A$1004,"&gt;="&amp;$B12,Log!$A$5:$A$1004,"&lt;"&amp;$B12+7)=0,"",_xlfn.MAXIFS(Log!$E$5:$E$1004,Log!$C$5:$C$1004,"Bent-over row",Log!$A$5:$A$1004,"&gt;="&amp;$B12,Log!$A$5:$A$1004,"&lt;"&amp;$B12+7)),"")</f>
        <v/>
      </c>
      <c r="D12" s="27" t="str">
        <f aca="false">IFERROR(IF(_xlfn.MAXIFS(Log!$E$5:$E$1004,Log!$C$5:$C$1004,"Flat DB press",Log!$A$5:$A$1004,"&gt;="&amp;$B12,Log!$A$5:$A$1004,"&lt;"&amp;$B12+7)=0,"",_xlfn.MAXIFS(Log!$E$5:$E$1004,Log!$C$5:$C$1004,"Flat DB press",Log!$A$5:$A$1004,"&gt;="&amp;$B12,Log!$A$5:$A$1004,"&lt;"&amp;$B12+7)),"")</f>
        <v/>
      </c>
      <c r="E12" s="27" t="str">
        <f aca="false">IFERROR(IF(_xlfn.MAXIFS(Log!$E$5:$E$1004,Log!$C$5:$C$1004,"Squat",Log!$A$5:$A$1004,"&gt;="&amp;$B12,Log!$A$5:$A$1004,"&lt;"&amp;$B12+7)=0,"",_xlfn.MAXIFS(Log!$E$5:$E$1004,Log!$C$5:$C$1004,"Squat",Log!$A$5:$A$1004,"&gt;="&amp;$B12,Log!$A$5:$A$1004,"&lt;"&amp;$B12+7)),"")</f>
        <v/>
      </c>
      <c r="F12" s="27" t="str">
        <f aca="false">IFERROR(IF(_xlfn.MAXIFS(Log!$E$5:$E$1004,Log!$C$5:$C$1004,"Stiff-leg deadlift",Log!$A$5:$A$1004,"&gt;="&amp;$B12,Log!$A$5:$A$1004,"&lt;"&amp;$B12+7)=0,"",_xlfn.MAXIFS(Log!$E$5:$E$1004,Log!$C$5:$C$1004,"Stiff-leg deadlift",Log!$A$5:$A$1004,"&gt;="&amp;$B12,Log!$A$5:$A$1004,"&lt;"&amp;$B12+7)),"")</f>
        <v/>
      </c>
      <c r="G12" s="28" t="str">
        <f aca="false">IFERROR(IF(SUMIFS(Log!$G$5:$G$1004,Log!$A$5:$A$1004,"&gt;="&amp;$B12,Log!$A$5:$A$1004,"&lt;"&amp;$B12+7)=0,"",SUMIFS(Log!$G$5:$G$1004,Log!$A$5:$A$1004,"&gt;="&amp;$B12,Log!$A$5:$A$1004,"&lt;"&amp;$B12+7)),"")</f>
        <v/>
      </c>
    </row>
    <row r="13" customFormat="false" ht="15" hidden="false" customHeight="false" outlineLevel="0" collapsed="false">
      <c r="A13" s="22" t="n">
        <v>7</v>
      </c>
      <c r="B13" s="23" t="n">
        <f aca="false">$D$4+7*(A13-1)</f>
        <v>46321</v>
      </c>
      <c r="C13" s="24" t="str">
        <f aca="false">IFERROR(IF(_xlfn.MAXIFS(Log!$E$5:$E$1004,Log!$C$5:$C$1004,"Bent-over row",Log!$A$5:$A$1004,"&gt;="&amp;$B13,Log!$A$5:$A$1004,"&lt;"&amp;$B13+7)=0,"",_xlfn.MAXIFS(Log!$E$5:$E$1004,Log!$C$5:$C$1004,"Bent-over row",Log!$A$5:$A$1004,"&gt;="&amp;$B13,Log!$A$5:$A$1004,"&lt;"&amp;$B13+7)),"")</f>
        <v/>
      </c>
      <c r="D13" s="24" t="str">
        <f aca="false">IFERROR(IF(_xlfn.MAXIFS(Log!$E$5:$E$1004,Log!$C$5:$C$1004,"Flat DB press",Log!$A$5:$A$1004,"&gt;="&amp;$B13,Log!$A$5:$A$1004,"&lt;"&amp;$B13+7)=0,"",_xlfn.MAXIFS(Log!$E$5:$E$1004,Log!$C$5:$C$1004,"Flat DB press",Log!$A$5:$A$1004,"&gt;="&amp;$B13,Log!$A$5:$A$1004,"&lt;"&amp;$B13+7)),"")</f>
        <v/>
      </c>
      <c r="E13" s="24" t="str">
        <f aca="false">IFERROR(IF(_xlfn.MAXIFS(Log!$E$5:$E$1004,Log!$C$5:$C$1004,"Squat",Log!$A$5:$A$1004,"&gt;="&amp;$B13,Log!$A$5:$A$1004,"&lt;"&amp;$B13+7)=0,"",_xlfn.MAXIFS(Log!$E$5:$E$1004,Log!$C$5:$C$1004,"Squat",Log!$A$5:$A$1004,"&gt;="&amp;$B13,Log!$A$5:$A$1004,"&lt;"&amp;$B13+7)),"")</f>
        <v/>
      </c>
      <c r="F13" s="24" t="str">
        <f aca="false">IFERROR(IF(_xlfn.MAXIFS(Log!$E$5:$E$1004,Log!$C$5:$C$1004,"Stiff-leg deadlift",Log!$A$5:$A$1004,"&gt;="&amp;$B13,Log!$A$5:$A$1004,"&lt;"&amp;$B13+7)=0,"",_xlfn.MAXIFS(Log!$E$5:$E$1004,Log!$C$5:$C$1004,"Stiff-leg deadlift",Log!$A$5:$A$1004,"&gt;="&amp;$B13,Log!$A$5:$A$1004,"&lt;"&amp;$B13+7)),"")</f>
        <v/>
      </c>
      <c r="G13" s="10" t="str">
        <f aca="false">IFERROR(IF(SUMIFS(Log!$G$5:$G$1004,Log!$A$5:$A$1004,"&gt;="&amp;$B13,Log!$A$5:$A$1004,"&lt;"&amp;$B13+7)=0,"",SUMIFS(Log!$G$5:$G$1004,Log!$A$5:$A$1004,"&gt;="&amp;$B13,Log!$A$5:$A$1004,"&lt;"&amp;$B13+7)),"")</f>
        <v/>
      </c>
    </row>
    <row r="14" customFormat="false" ht="15" hidden="false" customHeight="false" outlineLevel="0" collapsed="false">
      <c r="A14" s="25" t="n">
        <v>8</v>
      </c>
      <c r="B14" s="26" t="n">
        <f aca="false">$D$4+7*(A14-1)</f>
        <v>46328</v>
      </c>
      <c r="C14" s="27" t="str">
        <f aca="false">IFERROR(IF(_xlfn.MAXIFS(Log!$E$5:$E$1004,Log!$C$5:$C$1004,"Bent-over row",Log!$A$5:$A$1004,"&gt;="&amp;$B14,Log!$A$5:$A$1004,"&lt;"&amp;$B14+7)=0,"",_xlfn.MAXIFS(Log!$E$5:$E$1004,Log!$C$5:$C$1004,"Bent-over row",Log!$A$5:$A$1004,"&gt;="&amp;$B14,Log!$A$5:$A$1004,"&lt;"&amp;$B14+7)),"")</f>
        <v/>
      </c>
      <c r="D14" s="27" t="str">
        <f aca="false">IFERROR(IF(_xlfn.MAXIFS(Log!$E$5:$E$1004,Log!$C$5:$C$1004,"Flat DB press",Log!$A$5:$A$1004,"&gt;="&amp;$B14,Log!$A$5:$A$1004,"&lt;"&amp;$B14+7)=0,"",_xlfn.MAXIFS(Log!$E$5:$E$1004,Log!$C$5:$C$1004,"Flat DB press",Log!$A$5:$A$1004,"&gt;="&amp;$B14,Log!$A$5:$A$1004,"&lt;"&amp;$B14+7)),"")</f>
        <v/>
      </c>
      <c r="E14" s="27" t="str">
        <f aca="false">IFERROR(IF(_xlfn.MAXIFS(Log!$E$5:$E$1004,Log!$C$5:$C$1004,"Squat",Log!$A$5:$A$1004,"&gt;="&amp;$B14,Log!$A$5:$A$1004,"&lt;"&amp;$B14+7)=0,"",_xlfn.MAXIFS(Log!$E$5:$E$1004,Log!$C$5:$C$1004,"Squat",Log!$A$5:$A$1004,"&gt;="&amp;$B14,Log!$A$5:$A$1004,"&lt;"&amp;$B14+7)),"")</f>
        <v/>
      </c>
      <c r="F14" s="27" t="str">
        <f aca="false">IFERROR(IF(_xlfn.MAXIFS(Log!$E$5:$E$1004,Log!$C$5:$C$1004,"Stiff-leg deadlift",Log!$A$5:$A$1004,"&gt;="&amp;$B14,Log!$A$5:$A$1004,"&lt;"&amp;$B14+7)=0,"",_xlfn.MAXIFS(Log!$E$5:$E$1004,Log!$C$5:$C$1004,"Stiff-leg deadlift",Log!$A$5:$A$1004,"&gt;="&amp;$B14,Log!$A$5:$A$1004,"&lt;"&amp;$B14+7)),"")</f>
        <v/>
      </c>
      <c r="G14" s="28" t="str">
        <f aca="false">IFERROR(IF(SUMIFS(Log!$G$5:$G$1004,Log!$A$5:$A$1004,"&gt;="&amp;$B14,Log!$A$5:$A$1004,"&lt;"&amp;$B14+7)=0,"",SUMIFS(Log!$G$5:$G$1004,Log!$A$5:$A$1004,"&gt;="&amp;$B14,Log!$A$5:$A$1004,"&lt;"&amp;$B14+7)),"")</f>
        <v/>
      </c>
    </row>
    <row r="15" customFormat="false" ht="15" hidden="false" customHeight="false" outlineLevel="0" collapsed="false">
      <c r="A15" s="22" t="n">
        <v>9</v>
      </c>
      <c r="B15" s="23" t="n">
        <f aca="false">$D$4+7*(A15-1)</f>
        <v>46335</v>
      </c>
      <c r="C15" s="24" t="str">
        <f aca="false">IFERROR(IF(_xlfn.MAXIFS(Log!$E$5:$E$1004,Log!$C$5:$C$1004,"Bent-over row",Log!$A$5:$A$1004,"&gt;="&amp;$B15,Log!$A$5:$A$1004,"&lt;"&amp;$B15+7)=0,"",_xlfn.MAXIFS(Log!$E$5:$E$1004,Log!$C$5:$C$1004,"Bent-over row",Log!$A$5:$A$1004,"&gt;="&amp;$B15,Log!$A$5:$A$1004,"&lt;"&amp;$B15+7)),"")</f>
        <v/>
      </c>
      <c r="D15" s="24" t="str">
        <f aca="false">IFERROR(IF(_xlfn.MAXIFS(Log!$E$5:$E$1004,Log!$C$5:$C$1004,"Flat DB press",Log!$A$5:$A$1004,"&gt;="&amp;$B15,Log!$A$5:$A$1004,"&lt;"&amp;$B15+7)=0,"",_xlfn.MAXIFS(Log!$E$5:$E$1004,Log!$C$5:$C$1004,"Flat DB press",Log!$A$5:$A$1004,"&gt;="&amp;$B15,Log!$A$5:$A$1004,"&lt;"&amp;$B15+7)),"")</f>
        <v/>
      </c>
      <c r="E15" s="24" t="str">
        <f aca="false">IFERROR(IF(_xlfn.MAXIFS(Log!$E$5:$E$1004,Log!$C$5:$C$1004,"Squat",Log!$A$5:$A$1004,"&gt;="&amp;$B15,Log!$A$5:$A$1004,"&lt;"&amp;$B15+7)=0,"",_xlfn.MAXIFS(Log!$E$5:$E$1004,Log!$C$5:$C$1004,"Squat",Log!$A$5:$A$1004,"&gt;="&amp;$B15,Log!$A$5:$A$1004,"&lt;"&amp;$B15+7)),"")</f>
        <v/>
      </c>
      <c r="F15" s="24" t="str">
        <f aca="false">IFERROR(IF(_xlfn.MAXIFS(Log!$E$5:$E$1004,Log!$C$5:$C$1004,"Stiff-leg deadlift",Log!$A$5:$A$1004,"&gt;="&amp;$B15,Log!$A$5:$A$1004,"&lt;"&amp;$B15+7)=0,"",_xlfn.MAXIFS(Log!$E$5:$E$1004,Log!$C$5:$C$1004,"Stiff-leg deadlift",Log!$A$5:$A$1004,"&gt;="&amp;$B15,Log!$A$5:$A$1004,"&lt;"&amp;$B15+7)),"")</f>
        <v/>
      </c>
      <c r="G15" s="10" t="str">
        <f aca="false">IFERROR(IF(SUMIFS(Log!$G$5:$G$1004,Log!$A$5:$A$1004,"&gt;="&amp;$B15,Log!$A$5:$A$1004,"&lt;"&amp;$B15+7)=0,"",SUMIFS(Log!$G$5:$G$1004,Log!$A$5:$A$1004,"&gt;="&amp;$B15,Log!$A$5:$A$1004,"&lt;"&amp;$B15+7)),"")</f>
        <v/>
      </c>
    </row>
    <row r="16" customFormat="false" ht="15" hidden="false" customHeight="false" outlineLevel="0" collapsed="false">
      <c r="A16" s="25" t="n">
        <v>10</v>
      </c>
      <c r="B16" s="26" t="n">
        <f aca="false">$D$4+7*(A16-1)</f>
        <v>46342</v>
      </c>
      <c r="C16" s="27" t="str">
        <f aca="false">IFERROR(IF(_xlfn.MAXIFS(Log!$E$5:$E$1004,Log!$C$5:$C$1004,"Bent-over row",Log!$A$5:$A$1004,"&gt;="&amp;$B16,Log!$A$5:$A$1004,"&lt;"&amp;$B16+7)=0,"",_xlfn.MAXIFS(Log!$E$5:$E$1004,Log!$C$5:$C$1004,"Bent-over row",Log!$A$5:$A$1004,"&gt;="&amp;$B16,Log!$A$5:$A$1004,"&lt;"&amp;$B16+7)),"")</f>
        <v/>
      </c>
      <c r="D16" s="27" t="str">
        <f aca="false">IFERROR(IF(_xlfn.MAXIFS(Log!$E$5:$E$1004,Log!$C$5:$C$1004,"Flat DB press",Log!$A$5:$A$1004,"&gt;="&amp;$B16,Log!$A$5:$A$1004,"&lt;"&amp;$B16+7)=0,"",_xlfn.MAXIFS(Log!$E$5:$E$1004,Log!$C$5:$C$1004,"Flat DB press",Log!$A$5:$A$1004,"&gt;="&amp;$B16,Log!$A$5:$A$1004,"&lt;"&amp;$B16+7)),"")</f>
        <v/>
      </c>
      <c r="E16" s="27" t="str">
        <f aca="false">IFERROR(IF(_xlfn.MAXIFS(Log!$E$5:$E$1004,Log!$C$5:$C$1004,"Squat",Log!$A$5:$A$1004,"&gt;="&amp;$B16,Log!$A$5:$A$1004,"&lt;"&amp;$B16+7)=0,"",_xlfn.MAXIFS(Log!$E$5:$E$1004,Log!$C$5:$C$1004,"Squat",Log!$A$5:$A$1004,"&gt;="&amp;$B16,Log!$A$5:$A$1004,"&lt;"&amp;$B16+7)),"")</f>
        <v/>
      </c>
      <c r="F16" s="27" t="str">
        <f aca="false">IFERROR(IF(_xlfn.MAXIFS(Log!$E$5:$E$1004,Log!$C$5:$C$1004,"Stiff-leg deadlift",Log!$A$5:$A$1004,"&gt;="&amp;$B16,Log!$A$5:$A$1004,"&lt;"&amp;$B16+7)=0,"",_xlfn.MAXIFS(Log!$E$5:$E$1004,Log!$C$5:$C$1004,"Stiff-leg deadlift",Log!$A$5:$A$1004,"&gt;="&amp;$B16,Log!$A$5:$A$1004,"&lt;"&amp;$B16+7)),"")</f>
        <v/>
      </c>
      <c r="G16" s="28" t="str">
        <f aca="false">IFERROR(IF(SUMIFS(Log!$G$5:$G$1004,Log!$A$5:$A$1004,"&gt;="&amp;$B16,Log!$A$5:$A$1004,"&lt;"&amp;$B16+7)=0,"",SUMIFS(Log!$G$5:$G$1004,Log!$A$5:$A$1004,"&gt;="&amp;$B16,Log!$A$5:$A$1004,"&lt;"&amp;$B16+7)),"")</f>
        <v/>
      </c>
    </row>
    <row r="17" customFormat="false" ht="15" hidden="false" customHeight="false" outlineLevel="0" collapsed="false">
      <c r="A17" s="22" t="n">
        <v>11</v>
      </c>
      <c r="B17" s="23" t="n">
        <f aca="false">$D$4+7*(A17-1)</f>
        <v>46349</v>
      </c>
      <c r="C17" s="24" t="str">
        <f aca="false">IFERROR(IF(_xlfn.MAXIFS(Log!$E$5:$E$1004,Log!$C$5:$C$1004,"Bent-over row",Log!$A$5:$A$1004,"&gt;="&amp;$B17,Log!$A$5:$A$1004,"&lt;"&amp;$B17+7)=0,"",_xlfn.MAXIFS(Log!$E$5:$E$1004,Log!$C$5:$C$1004,"Bent-over row",Log!$A$5:$A$1004,"&gt;="&amp;$B17,Log!$A$5:$A$1004,"&lt;"&amp;$B17+7)),"")</f>
        <v/>
      </c>
      <c r="D17" s="24" t="str">
        <f aca="false">IFERROR(IF(_xlfn.MAXIFS(Log!$E$5:$E$1004,Log!$C$5:$C$1004,"Flat DB press",Log!$A$5:$A$1004,"&gt;="&amp;$B17,Log!$A$5:$A$1004,"&lt;"&amp;$B17+7)=0,"",_xlfn.MAXIFS(Log!$E$5:$E$1004,Log!$C$5:$C$1004,"Flat DB press",Log!$A$5:$A$1004,"&gt;="&amp;$B17,Log!$A$5:$A$1004,"&lt;"&amp;$B17+7)),"")</f>
        <v/>
      </c>
      <c r="E17" s="24" t="str">
        <f aca="false">IFERROR(IF(_xlfn.MAXIFS(Log!$E$5:$E$1004,Log!$C$5:$C$1004,"Squat",Log!$A$5:$A$1004,"&gt;="&amp;$B17,Log!$A$5:$A$1004,"&lt;"&amp;$B17+7)=0,"",_xlfn.MAXIFS(Log!$E$5:$E$1004,Log!$C$5:$C$1004,"Squat",Log!$A$5:$A$1004,"&gt;="&amp;$B17,Log!$A$5:$A$1004,"&lt;"&amp;$B17+7)),"")</f>
        <v/>
      </c>
      <c r="F17" s="24" t="str">
        <f aca="false">IFERROR(IF(_xlfn.MAXIFS(Log!$E$5:$E$1004,Log!$C$5:$C$1004,"Stiff-leg deadlift",Log!$A$5:$A$1004,"&gt;="&amp;$B17,Log!$A$5:$A$1004,"&lt;"&amp;$B17+7)=0,"",_xlfn.MAXIFS(Log!$E$5:$E$1004,Log!$C$5:$C$1004,"Stiff-leg deadlift",Log!$A$5:$A$1004,"&gt;="&amp;$B17,Log!$A$5:$A$1004,"&lt;"&amp;$B17+7)),"")</f>
        <v/>
      </c>
      <c r="G17" s="10" t="str">
        <f aca="false">IFERROR(IF(SUMIFS(Log!$G$5:$G$1004,Log!$A$5:$A$1004,"&gt;="&amp;$B17,Log!$A$5:$A$1004,"&lt;"&amp;$B17+7)=0,"",SUMIFS(Log!$G$5:$G$1004,Log!$A$5:$A$1004,"&gt;="&amp;$B17,Log!$A$5:$A$1004,"&lt;"&amp;$B17+7)),"")</f>
        <v/>
      </c>
    </row>
    <row r="18" customFormat="false" ht="15" hidden="false" customHeight="false" outlineLevel="0" collapsed="false">
      <c r="A18" s="25" t="n">
        <v>12</v>
      </c>
      <c r="B18" s="26" t="n">
        <f aca="false">$D$4+7*(A18-1)</f>
        <v>46356</v>
      </c>
      <c r="C18" s="27" t="str">
        <f aca="false">IFERROR(IF(_xlfn.MAXIFS(Log!$E$5:$E$1004,Log!$C$5:$C$1004,"Bent-over row",Log!$A$5:$A$1004,"&gt;="&amp;$B18,Log!$A$5:$A$1004,"&lt;"&amp;$B18+7)=0,"",_xlfn.MAXIFS(Log!$E$5:$E$1004,Log!$C$5:$C$1004,"Bent-over row",Log!$A$5:$A$1004,"&gt;="&amp;$B18,Log!$A$5:$A$1004,"&lt;"&amp;$B18+7)),"")</f>
        <v/>
      </c>
      <c r="D18" s="27" t="str">
        <f aca="false">IFERROR(IF(_xlfn.MAXIFS(Log!$E$5:$E$1004,Log!$C$5:$C$1004,"Flat DB press",Log!$A$5:$A$1004,"&gt;="&amp;$B18,Log!$A$5:$A$1004,"&lt;"&amp;$B18+7)=0,"",_xlfn.MAXIFS(Log!$E$5:$E$1004,Log!$C$5:$C$1004,"Flat DB press",Log!$A$5:$A$1004,"&gt;="&amp;$B18,Log!$A$5:$A$1004,"&lt;"&amp;$B18+7)),"")</f>
        <v/>
      </c>
      <c r="E18" s="27" t="str">
        <f aca="false">IFERROR(IF(_xlfn.MAXIFS(Log!$E$5:$E$1004,Log!$C$5:$C$1004,"Squat",Log!$A$5:$A$1004,"&gt;="&amp;$B18,Log!$A$5:$A$1004,"&lt;"&amp;$B18+7)=0,"",_xlfn.MAXIFS(Log!$E$5:$E$1004,Log!$C$5:$C$1004,"Squat",Log!$A$5:$A$1004,"&gt;="&amp;$B18,Log!$A$5:$A$1004,"&lt;"&amp;$B18+7)),"")</f>
        <v/>
      </c>
      <c r="F18" s="27" t="str">
        <f aca="false">IFERROR(IF(_xlfn.MAXIFS(Log!$E$5:$E$1004,Log!$C$5:$C$1004,"Stiff-leg deadlift",Log!$A$5:$A$1004,"&gt;="&amp;$B18,Log!$A$5:$A$1004,"&lt;"&amp;$B18+7)=0,"",_xlfn.MAXIFS(Log!$E$5:$E$1004,Log!$C$5:$C$1004,"Stiff-leg deadlift",Log!$A$5:$A$1004,"&gt;="&amp;$B18,Log!$A$5:$A$1004,"&lt;"&amp;$B18+7)),"")</f>
        <v/>
      </c>
      <c r="G18" s="28" t="str">
        <f aca="false">IFERROR(IF(SUMIFS(Log!$G$5:$G$1004,Log!$A$5:$A$1004,"&gt;="&amp;$B18,Log!$A$5:$A$1004,"&lt;"&amp;$B18+7)=0,"",SUMIFS(Log!$G$5:$G$1004,Log!$A$5:$A$1004,"&gt;="&amp;$B18,Log!$A$5:$A$1004,"&lt;"&amp;$B18+7)),"")</f>
        <v/>
      </c>
    </row>
    <row r="19" customFormat="false" ht="15" hidden="false" customHeight="false" outlineLevel="0" collapsed="false">
      <c r="A19" s="22" t="n">
        <v>13</v>
      </c>
      <c r="B19" s="23" t="n">
        <f aca="false">$D$4+7*(A19-1)</f>
        <v>46363</v>
      </c>
      <c r="C19" s="24" t="str">
        <f aca="false">IFERROR(IF(_xlfn.MAXIFS(Log!$E$5:$E$1004,Log!$C$5:$C$1004,"Bent-over row",Log!$A$5:$A$1004,"&gt;="&amp;$B19,Log!$A$5:$A$1004,"&lt;"&amp;$B19+7)=0,"",_xlfn.MAXIFS(Log!$E$5:$E$1004,Log!$C$5:$C$1004,"Bent-over row",Log!$A$5:$A$1004,"&gt;="&amp;$B19,Log!$A$5:$A$1004,"&lt;"&amp;$B19+7)),"")</f>
        <v/>
      </c>
      <c r="D19" s="24" t="str">
        <f aca="false">IFERROR(IF(_xlfn.MAXIFS(Log!$E$5:$E$1004,Log!$C$5:$C$1004,"Flat DB press",Log!$A$5:$A$1004,"&gt;="&amp;$B19,Log!$A$5:$A$1004,"&lt;"&amp;$B19+7)=0,"",_xlfn.MAXIFS(Log!$E$5:$E$1004,Log!$C$5:$C$1004,"Flat DB press",Log!$A$5:$A$1004,"&gt;="&amp;$B19,Log!$A$5:$A$1004,"&lt;"&amp;$B19+7)),"")</f>
        <v/>
      </c>
      <c r="E19" s="24" t="str">
        <f aca="false">IFERROR(IF(_xlfn.MAXIFS(Log!$E$5:$E$1004,Log!$C$5:$C$1004,"Squat",Log!$A$5:$A$1004,"&gt;="&amp;$B19,Log!$A$5:$A$1004,"&lt;"&amp;$B19+7)=0,"",_xlfn.MAXIFS(Log!$E$5:$E$1004,Log!$C$5:$C$1004,"Squat",Log!$A$5:$A$1004,"&gt;="&amp;$B19,Log!$A$5:$A$1004,"&lt;"&amp;$B19+7)),"")</f>
        <v/>
      </c>
      <c r="F19" s="24" t="str">
        <f aca="false">IFERROR(IF(_xlfn.MAXIFS(Log!$E$5:$E$1004,Log!$C$5:$C$1004,"Stiff-leg deadlift",Log!$A$5:$A$1004,"&gt;="&amp;$B19,Log!$A$5:$A$1004,"&lt;"&amp;$B19+7)=0,"",_xlfn.MAXIFS(Log!$E$5:$E$1004,Log!$C$5:$C$1004,"Stiff-leg deadlift",Log!$A$5:$A$1004,"&gt;="&amp;$B19,Log!$A$5:$A$1004,"&lt;"&amp;$B19+7)),"")</f>
        <v/>
      </c>
      <c r="G19" s="10" t="str">
        <f aca="false">IFERROR(IF(SUMIFS(Log!$G$5:$G$1004,Log!$A$5:$A$1004,"&gt;="&amp;$B19,Log!$A$5:$A$1004,"&lt;"&amp;$B19+7)=0,"",SUMIFS(Log!$G$5:$G$1004,Log!$A$5:$A$1004,"&gt;="&amp;$B19,Log!$A$5:$A$1004,"&lt;"&amp;$B19+7)),"")</f>
        <v/>
      </c>
    </row>
    <row r="20" customFormat="false" ht="15" hidden="false" customHeight="false" outlineLevel="0" collapsed="false">
      <c r="A20" s="25" t="n">
        <v>14</v>
      </c>
      <c r="B20" s="26" t="n">
        <f aca="false">$D$4+7*(A20-1)</f>
        <v>46370</v>
      </c>
      <c r="C20" s="27" t="str">
        <f aca="false">IFERROR(IF(_xlfn.MAXIFS(Log!$E$5:$E$1004,Log!$C$5:$C$1004,"Bent-over row",Log!$A$5:$A$1004,"&gt;="&amp;$B20,Log!$A$5:$A$1004,"&lt;"&amp;$B20+7)=0,"",_xlfn.MAXIFS(Log!$E$5:$E$1004,Log!$C$5:$C$1004,"Bent-over row",Log!$A$5:$A$1004,"&gt;="&amp;$B20,Log!$A$5:$A$1004,"&lt;"&amp;$B20+7)),"")</f>
        <v/>
      </c>
      <c r="D20" s="27" t="str">
        <f aca="false">IFERROR(IF(_xlfn.MAXIFS(Log!$E$5:$E$1004,Log!$C$5:$C$1004,"Flat DB press",Log!$A$5:$A$1004,"&gt;="&amp;$B20,Log!$A$5:$A$1004,"&lt;"&amp;$B20+7)=0,"",_xlfn.MAXIFS(Log!$E$5:$E$1004,Log!$C$5:$C$1004,"Flat DB press",Log!$A$5:$A$1004,"&gt;="&amp;$B20,Log!$A$5:$A$1004,"&lt;"&amp;$B20+7)),"")</f>
        <v/>
      </c>
      <c r="E20" s="27" t="str">
        <f aca="false">IFERROR(IF(_xlfn.MAXIFS(Log!$E$5:$E$1004,Log!$C$5:$C$1004,"Squat",Log!$A$5:$A$1004,"&gt;="&amp;$B20,Log!$A$5:$A$1004,"&lt;"&amp;$B20+7)=0,"",_xlfn.MAXIFS(Log!$E$5:$E$1004,Log!$C$5:$C$1004,"Squat",Log!$A$5:$A$1004,"&gt;="&amp;$B20,Log!$A$5:$A$1004,"&lt;"&amp;$B20+7)),"")</f>
        <v/>
      </c>
      <c r="F20" s="27" t="str">
        <f aca="false">IFERROR(IF(_xlfn.MAXIFS(Log!$E$5:$E$1004,Log!$C$5:$C$1004,"Stiff-leg deadlift",Log!$A$5:$A$1004,"&gt;="&amp;$B20,Log!$A$5:$A$1004,"&lt;"&amp;$B20+7)=0,"",_xlfn.MAXIFS(Log!$E$5:$E$1004,Log!$C$5:$C$1004,"Stiff-leg deadlift",Log!$A$5:$A$1004,"&gt;="&amp;$B20,Log!$A$5:$A$1004,"&lt;"&amp;$B20+7)),"")</f>
        <v/>
      </c>
      <c r="G20" s="28" t="str">
        <f aca="false">IFERROR(IF(SUMIFS(Log!$G$5:$G$1004,Log!$A$5:$A$1004,"&gt;="&amp;$B20,Log!$A$5:$A$1004,"&lt;"&amp;$B20+7)=0,"",SUMIFS(Log!$G$5:$G$1004,Log!$A$5:$A$1004,"&gt;="&amp;$B20,Log!$A$5:$A$1004,"&lt;"&amp;$B20+7)),"")</f>
        <v/>
      </c>
    </row>
    <row r="21" customFormat="false" ht="15" hidden="false" customHeight="false" outlineLevel="0" collapsed="false">
      <c r="A21" s="22" t="n">
        <v>15</v>
      </c>
      <c r="B21" s="23" t="n">
        <f aca="false">$D$4+7*(A21-1)</f>
        <v>46377</v>
      </c>
      <c r="C21" s="24" t="str">
        <f aca="false">IFERROR(IF(_xlfn.MAXIFS(Log!$E$5:$E$1004,Log!$C$5:$C$1004,"Bent-over row",Log!$A$5:$A$1004,"&gt;="&amp;$B21,Log!$A$5:$A$1004,"&lt;"&amp;$B21+7)=0,"",_xlfn.MAXIFS(Log!$E$5:$E$1004,Log!$C$5:$C$1004,"Bent-over row",Log!$A$5:$A$1004,"&gt;="&amp;$B21,Log!$A$5:$A$1004,"&lt;"&amp;$B21+7)),"")</f>
        <v/>
      </c>
      <c r="D21" s="24" t="str">
        <f aca="false">IFERROR(IF(_xlfn.MAXIFS(Log!$E$5:$E$1004,Log!$C$5:$C$1004,"Flat DB press",Log!$A$5:$A$1004,"&gt;="&amp;$B21,Log!$A$5:$A$1004,"&lt;"&amp;$B21+7)=0,"",_xlfn.MAXIFS(Log!$E$5:$E$1004,Log!$C$5:$C$1004,"Flat DB press",Log!$A$5:$A$1004,"&gt;="&amp;$B21,Log!$A$5:$A$1004,"&lt;"&amp;$B21+7)),"")</f>
        <v/>
      </c>
      <c r="E21" s="24" t="str">
        <f aca="false">IFERROR(IF(_xlfn.MAXIFS(Log!$E$5:$E$1004,Log!$C$5:$C$1004,"Squat",Log!$A$5:$A$1004,"&gt;="&amp;$B21,Log!$A$5:$A$1004,"&lt;"&amp;$B21+7)=0,"",_xlfn.MAXIFS(Log!$E$5:$E$1004,Log!$C$5:$C$1004,"Squat",Log!$A$5:$A$1004,"&gt;="&amp;$B21,Log!$A$5:$A$1004,"&lt;"&amp;$B21+7)),"")</f>
        <v/>
      </c>
      <c r="F21" s="24" t="str">
        <f aca="false">IFERROR(IF(_xlfn.MAXIFS(Log!$E$5:$E$1004,Log!$C$5:$C$1004,"Stiff-leg deadlift",Log!$A$5:$A$1004,"&gt;="&amp;$B21,Log!$A$5:$A$1004,"&lt;"&amp;$B21+7)=0,"",_xlfn.MAXIFS(Log!$E$5:$E$1004,Log!$C$5:$C$1004,"Stiff-leg deadlift",Log!$A$5:$A$1004,"&gt;="&amp;$B21,Log!$A$5:$A$1004,"&lt;"&amp;$B21+7)),"")</f>
        <v/>
      </c>
      <c r="G21" s="10" t="str">
        <f aca="false">IFERROR(IF(SUMIFS(Log!$G$5:$G$1004,Log!$A$5:$A$1004,"&gt;="&amp;$B21,Log!$A$5:$A$1004,"&lt;"&amp;$B21+7)=0,"",SUMIFS(Log!$G$5:$G$1004,Log!$A$5:$A$1004,"&gt;="&amp;$B21,Log!$A$5:$A$1004,"&lt;"&amp;$B21+7)),"")</f>
        <v/>
      </c>
    </row>
    <row r="22" customFormat="false" ht="15" hidden="false" customHeight="false" outlineLevel="0" collapsed="false">
      <c r="A22" s="25" t="n">
        <v>16</v>
      </c>
      <c r="B22" s="26" t="n">
        <f aca="false">$D$4+7*(A22-1)</f>
        <v>46384</v>
      </c>
      <c r="C22" s="27" t="str">
        <f aca="false">IFERROR(IF(_xlfn.MAXIFS(Log!$E$5:$E$1004,Log!$C$5:$C$1004,"Bent-over row",Log!$A$5:$A$1004,"&gt;="&amp;$B22,Log!$A$5:$A$1004,"&lt;"&amp;$B22+7)=0,"",_xlfn.MAXIFS(Log!$E$5:$E$1004,Log!$C$5:$C$1004,"Bent-over row",Log!$A$5:$A$1004,"&gt;="&amp;$B22,Log!$A$5:$A$1004,"&lt;"&amp;$B22+7)),"")</f>
        <v/>
      </c>
      <c r="D22" s="27" t="str">
        <f aca="false">IFERROR(IF(_xlfn.MAXIFS(Log!$E$5:$E$1004,Log!$C$5:$C$1004,"Flat DB press",Log!$A$5:$A$1004,"&gt;="&amp;$B22,Log!$A$5:$A$1004,"&lt;"&amp;$B22+7)=0,"",_xlfn.MAXIFS(Log!$E$5:$E$1004,Log!$C$5:$C$1004,"Flat DB press",Log!$A$5:$A$1004,"&gt;="&amp;$B22,Log!$A$5:$A$1004,"&lt;"&amp;$B22+7)),"")</f>
        <v/>
      </c>
      <c r="E22" s="27" t="str">
        <f aca="false">IFERROR(IF(_xlfn.MAXIFS(Log!$E$5:$E$1004,Log!$C$5:$C$1004,"Squat",Log!$A$5:$A$1004,"&gt;="&amp;$B22,Log!$A$5:$A$1004,"&lt;"&amp;$B22+7)=0,"",_xlfn.MAXIFS(Log!$E$5:$E$1004,Log!$C$5:$C$1004,"Squat",Log!$A$5:$A$1004,"&gt;="&amp;$B22,Log!$A$5:$A$1004,"&lt;"&amp;$B22+7)),"")</f>
        <v/>
      </c>
      <c r="F22" s="27" t="str">
        <f aca="false">IFERROR(IF(_xlfn.MAXIFS(Log!$E$5:$E$1004,Log!$C$5:$C$1004,"Stiff-leg deadlift",Log!$A$5:$A$1004,"&gt;="&amp;$B22,Log!$A$5:$A$1004,"&lt;"&amp;$B22+7)=0,"",_xlfn.MAXIFS(Log!$E$5:$E$1004,Log!$C$5:$C$1004,"Stiff-leg deadlift",Log!$A$5:$A$1004,"&gt;="&amp;$B22,Log!$A$5:$A$1004,"&lt;"&amp;$B22+7)),"")</f>
        <v/>
      </c>
      <c r="G22" s="28" t="str">
        <f aca="false">IFERROR(IF(SUMIFS(Log!$G$5:$G$1004,Log!$A$5:$A$1004,"&gt;="&amp;$B22,Log!$A$5:$A$1004,"&lt;"&amp;$B22+7)=0,"",SUMIFS(Log!$G$5:$G$1004,Log!$A$5:$A$1004,"&gt;="&amp;$B22,Log!$A$5:$A$1004,"&lt;"&amp;$B22+7)),"")</f>
        <v/>
      </c>
    </row>
    <row r="23" customFormat="false" ht="15" hidden="false" customHeight="false" outlineLevel="0" collapsed="false">
      <c r="A23" s="22" t="n">
        <v>17</v>
      </c>
      <c r="B23" s="23" t="n">
        <f aca="false">$D$4+7*(A23-1)</f>
        <v>46391</v>
      </c>
      <c r="C23" s="24" t="str">
        <f aca="false">IFERROR(IF(_xlfn.MAXIFS(Log!$E$5:$E$1004,Log!$C$5:$C$1004,"Bent-over row",Log!$A$5:$A$1004,"&gt;="&amp;$B23,Log!$A$5:$A$1004,"&lt;"&amp;$B23+7)=0,"",_xlfn.MAXIFS(Log!$E$5:$E$1004,Log!$C$5:$C$1004,"Bent-over row",Log!$A$5:$A$1004,"&gt;="&amp;$B23,Log!$A$5:$A$1004,"&lt;"&amp;$B23+7)),"")</f>
        <v/>
      </c>
      <c r="D23" s="24" t="str">
        <f aca="false">IFERROR(IF(_xlfn.MAXIFS(Log!$E$5:$E$1004,Log!$C$5:$C$1004,"Flat DB press",Log!$A$5:$A$1004,"&gt;="&amp;$B23,Log!$A$5:$A$1004,"&lt;"&amp;$B23+7)=0,"",_xlfn.MAXIFS(Log!$E$5:$E$1004,Log!$C$5:$C$1004,"Flat DB press",Log!$A$5:$A$1004,"&gt;="&amp;$B23,Log!$A$5:$A$1004,"&lt;"&amp;$B23+7)),"")</f>
        <v/>
      </c>
      <c r="E23" s="24" t="str">
        <f aca="false">IFERROR(IF(_xlfn.MAXIFS(Log!$E$5:$E$1004,Log!$C$5:$C$1004,"Squat",Log!$A$5:$A$1004,"&gt;="&amp;$B23,Log!$A$5:$A$1004,"&lt;"&amp;$B23+7)=0,"",_xlfn.MAXIFS(Log!$E$5:$E$1004,Log!$C$5:$C$1004,"Squat",Log!$A$5:$A$1004,"&gt;="&amp;$B23,Log!$A$5:$A$1004,"&lt;"&amp;$B23+7)),"")</f>
        <v/>
      </c>
      <c r="F23" s="24" t="str">
        <f aca="false">IFERROR(IF(_xlfn.MAXIFS(Log!$E$5:$E$1004,Log!$C$5:$C$1004,"Stiff-leg deadlift",Log!$A$5:$A$1004,"&gt;="&amp;$B23,Log!$A$5:$A$1004,"&lt;"&amp;$B23+7)=0,"",_xlfn.MAXIFS(Log!$E$5:$E$1004,Log!$C$5:$C$1004,"Stiff-leg deadlift",Log!$A$5:$A$1004,"&gt;="&amp;$B23,Log!$A$5:$A$1004,"&lt;"&amp;$B23+7)),"")</f>
        <v/>
      </c>
      <c r="G23" s="10" t="str">
        <f aca="false">IFERROR(IF(SUMIFS(Log!$G$5:$G$1004,Log!$A$5:$A$1004,"&gt;="&amp;$B23,Log!$A$5:$A$1004,"&lt;"&amp;$B23+7)=0,"",SUMIFS(Log!$G$5:$G$1004,Log!$A$5:$A$1004,"&gt;="&amp;$B23,Log!$A$5:$A$1004,"&lt;"&amp;$B23+7)),"")</f>
        <v/>
      </c>
    </row>
    <row r="24" customFormat="false" ht="15" hidden="false" customHeight="false" outlineLevel="0" collapsed="false">
      <c r="A24" s="25" t="n">
        <v>18</v>
      </c>
      <c r="B24" s="26" t="n">
        <f aca="false">$D$4+7*(A24-1)</f>
        <v>46398</v>
      </c>
      <c r="C24" s="27" t="str">
        <f aca="false">IFERROR(IF(_xlfn.MAXIFS(Log!$E$5:$E$1004,Log!$C$5:$C$1004,"Bent-over row",Log!$A$5:$A$1004,"&gt;="&amp;$B24,Log!$A$5:$A$1004,"&lt;"&amp;$B24+7)=0,"",_xlfn.MAXIFS(Log!$E$5:$E$1004,Log!$C$5:$C$1004,"Bent-over row",Log!$A$5:$A$1004,"&gt;="&amp;$B24,Log!$A$5:$A$1004,"&lt;"&amp;$B24+7)),"")</f>
        <v/>
      </c>
      <c r="D24" s="27" t="str">
        <f aca="false">IFERROR(IF(_xlfn.MAXIFS(Log!$E$5:$E$1004,Log!$C$5:$C$1004,"Flat DB press",Log!$A$5:$A$1004,"&gt;="&amp;$B24,Log!$A$5:$A$1004,"&lt;"&amp;$B24+7)=0,"",_xlfn.MAXIFS(Log!$E$5:$E$1004,Log!$C$5:$C$1004,"Flat DB press",Log!$A$5:$A$1004,"&gt;="&amp;$B24,Log!$A$5:$A$1004,"&lt;"&amp;$B24+7)),"")</f>
        <v/>
      </c>
      <c r="E24" s="27" t="str">
        <f aca="false">IFERROR(IF(_xlfn.MAXIFS(Log!$E$5:$E$1004,Log!$C$5:$C$1004,"Squat",Log!$A$5:$A$1004,"&gt;="&amp;$B24,Log!$A$5:$A$1004,"&lt;"&amp;$B24+7)=0,"",_xlfn.MAXIFS(Log!$E$5:$E$1004,Log!$C$5:$C$1004,"Squat",Log!$A$5:$A$1004,"&gt;="&amp;$B24,Log!$A$5:$A$1004,"&lt;"&amp;$B24+7)),"")</f>
        <v/>
      </c>
      <c r="F24" s="27" t="str">
        <f aca="false">IFERROR(IF(_xlfn.MAXIFS(Log!$E$5:$E$1004,Log!$C$5:$C$1004,"Stiff-leg deadlift",Log!$A$5:$A$1004,"&gt;="&amp;$B24,Log!$A$5:$A$1004,"&lt;"&amp;$B24+7)=0,"",_xlfn.MAXIFS(Log!$E$5:$E$1004,Log!$C$5:$C$1004,"Stiff-leg deadlift",Log!$A$5:$A$1004,"&gt;="&amp;$B24,Log!$A$5:$A$1004,"&lt;"&amp;$B24+7)),"")</f>
        <v/>
      </c>
      <c r="G24" s="28" t="str">
        <f aca="false">IFERROR(IF(SUMIFS(Log!$G$5:$G$1004,Log!$A$5:$A$1004,"&gt;="&amp;$B24,Log!$A$5:$A$1004,"&lt;"&amp;$B24+7)=0,"",SUMIFS(Log!$G$5:$G$1004,Log!$A$5:$A$1004,"&gt;="&amp;$B24,Log!$A$5:$A$1004,"&lt;"&amp;$B24+7)),"")</f>
        <v/>
      </c>
    </row>
    <row r="25" customFormat="false" ht="15" hidden="false" customHeight="false" outlineLevel="0" collapsed="false">
      <c r="A25" s="22" t="n">
        <v>19</v>
      </c>
      <c r="B25" s="23" t="n">
        <f aca="false">$D$4+7*(A25-1)</f>
        <v>46405</v>
      </c>
      <c r="C25" s="24" t="str">
        <f aca="false">IFERROR(IF(_xlfn.MAXIFS(Log!$E$5:$E$1004,Log!$C$5:$C$1004,"Bent-over row",Log!$A$5:$A$1004,"&gt;="&amp;$B25,Log!$A$5:$A$1004,"&lt;"&amp;$B25+7)=0,"",_xlfn.MAXIFS(Log!$E$5:$E$1004,Log!$C$5:$C$1004,"Bent-over row",Log!$A$5:$A$1004,"&gt;="&amp;$B25,Log!$A$5:$A$1004,"&lt;"&amp;$B25+7)),"")</f>
        <v/>
      </c>
      <c r="D25" s="24" t="str">
        <f aca="false">IFERROR(IF(_xlfn.MAXIFS(Log!$E$5:$E$1004,Log!$C$5:$C$1004,"Flat DB press",Log!$A$5:$A$1004,"&gt;="&amp;$B25,Log!$A$5:$A$1004,"&lt;"&amp;$B25+7)=0,"",_xlfn.MAXIFS(Log!$E$5:$E$1004,Log!$C$5:$C$1004,"Flat DB press",Log!$A$5:$A$1004,"&gt;="&amp;$B25,Log!$A$5:$A$1004,"&lt;"&amp;$B25+7)),"")</f>
        <v/>
      </c>
      <c r="E25" s="24" t="str">
        <f aca="false">IFERROR(IF(_xlfn.MAXIFS(Log!$E$5:$E$1004,Log!$C$5:$C$1004,"Squat",Log!$A$5:$A$1004,"&gt;="&amp;$B25,Log!$A$5:$A$1004,"&lt;"&amp;$B25+7)=0,"",_xlfn.MAXIFS(Log!$E$5:$E$1004,Log!$C$5:$C$1004,"Squat",Log!$A$5:$A$1004,"&gt;="&amp;$B25,Log!$A$5:$A$1004,"&lt;"&amp;$B25+7)),"")</f>
        <v/>
      </c>
      <c r="F25" s="24" t="str">
        <f aca="false">IFERROR(IF(_xlfn.MAXIFS(Log!$E$5:$E$1004,Log!$C$5:$C$1004,"Stiff-leg deadlift",Log!$A$5:$A$1004,"&gt;="&amp;$B25,Log!$A$5:$A$1004,"&lt;"&amp;$B25+7)=0,"",_xlfn.MAXIFS(Log!$E$5:$E$1004,Log!$C$5:$C$1004,"Stiff-leg deadlift",Log!$A$5:$A$1004,"&gt;="&amp;$B25,Log!$A$5:$A$1004,"&lt;"&amp;$B25+7)),"")</f>
        <v/>
      </c>
      <c r="G25" s="10" t="str">
        <f aca="false">IFERROR(IF(SUMIFS(Log!$G$5:$G$1004,Log!$A$5:$A$1004,"&gt;="&amp;$B25,Log!$A$5:$A$1004,"&lt;"&amp;$B25+7)=0,"",SUMIFS(Log!$G$5:$G$1004,Log!$A$5:$A$1004,"&gt;="&amp;$B25,Log!$A$5:$A$1004,"&lt;"&amp;$B25+7)),"")</f>
        <v/>
      </c>
    </row>
    <row r="26" customFormat="false" ht="15" hidden="false" customHeight="false" outlineLevel="0" collapsed="false">
      <c r="A26" s="25" t="n">
        <v>20</v>
      </c>
      <c r="B26" s="26" t="n">
        <f aca="false">$D$4+7*(A26-1)</f>
        <v>46412</v>
      </c>
      <c r="C26" s="27" t="str">
        <f aca="false">IFERROR(IF(_xlfn.MAXIFS(Log!$E$5:$E$1004,Log!$C$5:$C$1004,"Bent-over row",Log!$A$5:$A$1004,"&gt;="&amp;$B26,Log!$A$5:$A$1004,"&lt;"&amp;$B26+7)=0,"",_xlfn.MAXIFS(Log!$E$5:$E$1004,Log!$C$5:$C$1004,"Bent-over row",Log!$A$5:$A$1004,"&gt;="&amp;$B26,Log!$A$5:$A$1004,"&lt;"&amp;$B26+7)),"")</f>
        <v/>
      </c>
      <c r="D26" s="27" t="str">
        <f aca="false">IFERROR(IF(_xlfn.MAXIFS(Log!$E$5:$E$1004,Log!$C$5:$C$1004,"Flat DB press",Log!$A$5:$A$1004,"&gt;="&amp;$B26,Log!$A$5:$A$1004,"&lt;"&amp;$B26+7)=0,"",_xlfn.MAXIFS(Log!$E$5:$E$1004,Log!$C$5:$C$1004,"Flat DB press",Log!$A$5:$A$1004,"&gt;="&amp;$B26,Log!$A$5:$A$1004,"&lt;"&amp;$B26+7)),"")</f>
        <v/>
      </c>
      <c r="E26" s="27" t="str">
        <f aca="false">IFERROR(IF(_xlfn.MAXIFS(Log!$E$5:$E$1004,Log!$C$5:$C$1004,"Squat",Log!$A$5:$A$1004,"&gt;="&amp;$B26,Log!$A$5:$A$1004,"&lt;"&amp;$B26+7)=0,"",_xlfn.MAXIFS(Log!$E$5:$E$1004,Log!$C$5:$C$1004,"Squat",Log!$A$5:$A$1004,"&gt;="&amp;$B26,Log!$A$5:$A$1004,"&lt;"&amp;$B26+7)),"")</f>
        <v/>
      </c>
      <c r="F26" s="27" t="str">
        <f aca="false">IFERROR(IF(_xlfn.MAXIFS(Log!$E$5:$E$1004,Log!$C$5:$C$1004,"Stiff-leg deadlift",Log!$A$5:$A$1004,"&gt;="&amp;$B26,Log!$A$5:$A$1004,"&lt;"&amp;$B26+7)=0,"",_xlfn.MAXIFS(Log!$E$5:$E$1004,Log!$C$5:$C$1004,"Stiff-leg deadlift",Log!$A$5:$A$1004,"&gt;="&amp;$B26,Log!$A$5:$A$1004,"&lt;"&amp;$B26+7)),"")</f>
        <v/>
      </c>
      <c r="G26" s="28" t="str">
        <f aca="false">IFERROR(IF(SUMIFS(Log!$G$5:$G$1004,Log!$A$5:$A$1004,"&gt;="&amp;$B26,Log!$A$5:$A$1004,"&lt;"&amp;$B26+7)=0,"",SUMIFS(Log!$G$5:$G$1004,Log!$A$5:$A$1004,"&gt;="&amp;$B26,Log!$A$5:$A$1004,"&lt;"&amp;$B26+7)),"")</f>
        <v/>
      </c>
    </row>
    <row r="27" customFormat="false" ht="15" hidden="false" customHeight="false" outlineLevel="0" collapsed="false">
      <c r="A27" s="22" t="n">
        <v>21</v>
      </c>
      <c r="B27" s="23" t="n">
        <f aca="false">$D$4+7*(A27-1)</f>
        <v>46419</v>
      </c>
      <c r="C27" s="24" t="str">
        <f aca="false">IFERROR(IF(_xlfn.MAXIFS(Log!$E$5:$E$1004,Log!$C$5:$C$1004,"Bent-over row",Log!$A$5:$A$1004,"&gt;="&amp;$B27,Log!$A$5:$A$1004,"&lt;"&amp;$B27+7)=0,"",_xlfn.MAXIFS(Log!$E$5:$E$1004,Log!$C$5:$C$1004,"Bent-over row",Log!$A$5:$A$1004,"&gt;="&amp;$B27,Log!$A$5:$A$1004,"&lt;"&amp;$B27+7)),"")</f>
        <v/>
      </c>
      <c r="D27" s="24" t="str">
        <f aca="false">IFERROR(IF(_xlfn.MAXIFS(Log!$E$5:$E$1004,Log!$C$5:$C$1004,"Flat DB press",Log!$A$5:$A$1004,"&gt;="&amp;$B27,Log!$A$5:$A$1004,"&lt;"&amp;$B27+7)=0,"",_xlfn.MAXIFS(Log!$E$5:$E$1004,Log!$C$5:$C$1004,"Flat DB press",Log!$A$5:$A$1004,"&gt;="&amp;$B27,Log!$A$5:$A$1004,"&lt;"&amp;$B27+7)),"")</f>
        <v/>
      </c>
      <c r="E27" s="24" t="str">
        <f aca="false">IFERROR(IF(_xlfn.MAXIFS(Log!$E$5:$E$1004,Log!$C$5:$C$1004,"Squat",Log!$A$5:$A$1004,"&gt;="&amp;$B27,Log!$A$5:$A$1004,"&lt;"&amp;$B27+7)=0,"",_xlfn.MAXIFS(Log!$E$5:$E$1004,Log!$C$5:$C$1004,"Squat",Log!$A$5:$A$1004,"&gt;="&amp;$B27,Log!$A$5:$A$1004,"&lt;"&amp;$B27+7)),"")</f>
        <v/>
      </c>
      <c r="F27" s="24" t="str">
        <f aca="false">IFERROR(IF(_xlfn.MAXIFS(Log!$E$5:$E$1004,Log!$C$5:$C$1004,"Stiff-leg deadlift",Log!$A$5:$A$1004,"&gt;="&amp;$B27,Log!$A$5:$A$1004,"&lt;"&amp;$B27+7)=0,"",_xlfn.MAXIFS(Log!$E$5:$E$1004,Log!$C$5:$C$1004,"Stiff-leg deadlift",Log!$A$5:$A$1004,"&gt;="&amp;$B27,Log!$A$5:$A$1004,"&lt;"&amp;$B27+7)),"")</f>
        <v/>
      </c>
      <c r="G27" s="10" t="str">
        <f aca="false">IFERROR(IF(SUMIFS(Log!$G$5:$G$1004,Log!$A$5:$A$1004,"&gt;="&amp;$B27,Log!$A$5:$A$1004,"&lt;"&amp;$B27+7)=0,"",SUMIFS(Log!$G$5:$G$1004,Log!$A$5:$A$1004,"&gt;="&amp;$B27,Log!$A$5:$A$1004,"&lt;"&amp;$B27+7)),"")</f>
        <v/>
      </c>
    </row>
    <row r="28" customFormat="false" ht="15" hidden="false" customHeight="false" outlineLevel="0" collapsed="false">
      <c r="A28" s="25" t="n">
        <v>22</v>
      </c>
      <c r="B28" s="26" t="n">
        <f aca="false">$D$4+7*(A28-1)</f>
        <v>46426</v>
      </c>
      <c r="C28" s="27" t="str">
        <f aca="false">IFERROR(IF(_xlfn.MAXIFS(Log!$E$5:$E$1004,Log!$C$5:$C$1004,"Bent-over row",Log!$A$5:$A$1004,"&gt;="&amp;$B28,Log!$A$5:$A$1004,"&lt;"&amp;$B28+7)=0,"",_xlfn.MAXIFS(Log!$E$5:$E$1004,Log!$C$5:$C$1004,"Bent-over row",Log!$A$5:$A$1004,"&gt;="&amp;$B28,Log!$A$5:$A$1004,"&lt;"&amp;$B28+7)),"")</f>
        <v/>
      </c>
      <c r="D28" s="27" t="str">
        <f aca="false">IFERROR(IF(_xlfn.MAXIFS(Log!$E$5:$E$1004,Log!$C$5:$C$1004,"Flat DB press",Log!$A$5:$A$1004,"&gt;="&amp;$B28,Log!$A$5:$A$1004,"&lt;"&amp;$B28+7)=0,"",_xlfn.MAXIFS(Log!$E$5:$E$1004,Log!$C$5:$C$1004,"Flat DB press",Log!$A$5:$A$1004,"&gt;="&amp;$B28,Log!$A$5:$A$1004,"&lt;"&amp;$B28+7)),"")</f>
        <v/>
      </c>
      <c r="E28" s="27" t="str">
        <f aca="false">IFERROR(IF(_xlfn.MAXIFS(Log!$E$5:$E$1004,Log!$C$5:$C$1004,"Squat",Log!$A$5:$A$1004,"&gt;="&amp;$B28,Log!$A$5:$A$1004,"&lt;"&amp;$B28+7)=0,"",_xlfn.MAXIFS(Log!$E$5:$E$1004,Log!$C$5:$C$1004,"Squat",Log!$A$5:$A$1004,"&gt;="&amp;$B28,Log!$A$5:$A$1004,"&lt;"&amp;$B28+7)),"")</f>
        <v/>
      </c>
      <c r="F28" s="27" t="str">
        <f aca="false">IFERROR(IF(_xlfn.MAXIFS(Log!$E$5:$E$1004,Log!$C$5:$C$1004,"Stiff-leg deadlift",Log!$A$5:$A$1004,"&gt;="&amp;$B28,Log!$A$5:$A$1004,"&lt;"&amp;$B28+7)=0,"",_xlfn.MAXIFS(Log!$E$5:$E$1004,Log!$C$5:$C$1004,"Stiff-leg deadlift",Log!$A$5:$A$1004,"&gt;="&amp;$B28,Log!$A$5:$A$1004,"&lt;"&amp;$B28+7)),"")</f>
        <v/>
      </c>
      <c r="G28" s="28" t="str">
        <f aca="false">IFERROR(IF(SUMIFS(Log!$G$5:$G$1004,Log!$A$5:$A$1004,"&gt;="&amp;$B28,Log!$A$5:$A$1004,"&lt;"&amp;$B28+7)=0,"",SUMIFS(Log!$G$5:$G$1004,Log!$A$5:$A$1004,"&gt;="&amp;$B28,Log!$A$5:$A$1004,"&lt;"&amp;$B28+7)),"")</f>
        <v/>
      </c>
    </row>
    <row r="29" customFormat="false" ht="15" hidden="false" customHeight="false" outlineLevel="0" collapsed="false">
      <c r="A29" s="22" t="n">
        <v>23</v>
      </c>
      <c r="B29" s="23" t="n">
        <f aca="false">$D$4+7*(A29-1)</f>
        <v>46433</v>
      </c>
      <c r="C29" s="24" t="str">
        <f aca="false">IFERROR(IF(_xlfn.MAXIFS(Log!$E$5:$E$1004,Log!$C$5:$C$1004,"Bent-over row",Log!$A$5:$A$1004,"&gt;="&amp;$B29,Log!$A$5:$A$1004,"&lt;"&amp;$B29+7)=0,"",_xlfn.MAXIFS(Log!$E$5:$E$1004,Log!$C$5:$C$1004,"Bent-over row",Log!$A$5:$A$1004,"&gt;="&amp;$B29,Log!$A$5:$A$1004,"&lt;"&amp;$B29+7)),"")</f>
        <v/>
      </c>
      <c r="D29" s="24" t="str">
        <f aca="false">IFERROR(IF(_xlfn.MAXIFS(Log!$E$5:$E$1004,Log!$C$5:$C$1004,"Flat DB press",Log!$A$5:$A$1004,"&gt;="&amp;$B29,Log!$A$5:$A$1004,"&lt;"&amp;$B29+7)=0,"",_xlfn.MAXIFS(Log!$E$5:$E$1004,Log!$C$5:$C$1004,"Flat DB press",Log!$A$5:$A$1004,"&gt;="&amp;$B29,Log!$A$5:$A$1004,"&lt;"&amp;$B29+7)),"")</f>
        <v/>
      </c>
      <c r="E29" s="24" t="str">
        <f aca="false">IFERROR(IF(_xlfn.MAXIFS(Log!$E$5:$E$1004,Log!$C$5:$C$1004,"Squat",Log!$A$5:$A$1004,"&gt;="&amp;$B29,Log!$A$5:$A$1004,"&lt;"&amp;$B29+7)=0,"",_xlfn.MAXIFS(Log!$E$5:$E$1004,Log!$C$5:$C$1004,"Squat",Log!$A$5:$A$1004,"&gt;="&amp;$B29,Log!$A$5:$A$1004,"&lt;"&amp;$B29+7)),"")</f>
        <v/>
      </c>
      <c r="F29" s="24" t="str">
        <f aca="false">IFERROR(IF(_xlfn.MAXIFS(Log!$E$5:$E$1004,Log!$C$5:$C$1004,"Stiff-leg deadlift",Log!$A$5:$A$1004,"&gt;="&amp;$B29,Log!$A$5:$A$1004,"&lt;"&amp;$B29+7)=0,"",_xlfn.MAXIFS(Log!$E$5:$E$1004,Log!$C$5:$C$1004,"Stiff-leg deadlift",Log!$A$5:$A$1004,"&gt;="&amp;$B29,Log!$A$5:$A$1004,"&lt;"&amp;$B29+7)),"")</f>
        <v/>
      </c>
      <c r="G29" s="10" t="str">
        <f aca="false">IFERROR(IF(SUMIFS(Log!$G$5:$G$1004,Log!$A$5:$A$1004,"&gt;="&amp;$B29,Log!$A$5:$A$1004,"&lt;"&amp;$B29+7)=0,"",SUMIFS(Log!$G$5:$G$1004,Log!$A$5:$A$1004,"&gt;="&amp;$B29,Log!$A$5:$A$1004,"&lt;"&amp;$B29+7)),"")</f>
        <v/>
      </c>
    </row>
    <row r="30" customFormat="false" ht="15" hidden="false" customHeight="false" outlineLevel="0" collapsed="false">
      <c r="A30" s="25" t="n">
        <v>24</v>
      </c>
      <c r="B30" s="26" t="n">
        <f aca="false">$D$4+7*(A30-1)</f>
        <v>46440</v>
      </c>
      <c r="C30" s="27" t="str">
        <f aca="false">IFERROR(IF(_xlfn.MAXIFS(Log!$E$5:$E$1004,Log!$C$5:$C$1004,"Bent-over row",Log!$A$5:$A$1004,"&gt;="&amp;$B30,Log!$A$5:$A$1004,"&lt;"&amp;$B30+7)=0,"",_xlfn.MAXIFS(Log!$E$5:$E$1004,Log!$C$5:$C$1004,"Bent-over row",Log!$A$5:$A$1004,"&gt;="&amp;$B30,Log!$A$5:$A$1004,"&lt;"&amp;$B30+7)),"")</f>
        <v/>
      </c>
      <c r="D30" s="27" t="str">
        <f aca="false">IFERROR(IF(_xlfn.MAXIFS(Log!$E$5:$E$1004,Log!$C$5:$C$1004,"Flat DB press",Log!$A$5:$A$1004,"&gt;="&amp;$B30,Log!$A$5:$A$1004,"&lt;"&amp;$B30+7)=0,"",_xlfn.MAXIFS(Log!$E$5:$E$1004,Log!$C$5:$C$1004,"Flat DB press",Log!$A$5:$A$1004,"&gt;="&amp;$B30,Log!$A$5:$A$1004,"&lt;"&amp;$B30+7)),"")</f>
        <v/>
      </c>
      <c r="E30" s="27" t="str">
        <f aca="false">IFERROR(IF(_xlfn.MAXIFS(Log!$E$5:$E$1004,Log!$C$5:$C$1004,"Squat",Log!$A$5:$A$1004,"&gt;="&amp;$B30,Log!$A$5:$A$1004,"&lt;"&amp;$B30+7)=0,"",_xlfn.MAXIFS(Log!$E$5:$E$1004,Log!$C$5:$C$1004,"Squat",Log!$A$5:$A$1004,"&gt;="&amp;$B30,Log!$A$5:$A$1004,"&lt;"&amp;$B30+7)),"")</f>
        <v/>
      </c>
      <c r="F30" s="27" t="str">
        <f aca="false">IFERROR(IF(_xlfn.MAXIFS(Log!$E$5:$E$1004,Log!$C$5:$C$1004,"Stiff-leg deadlift",Log!$A$5:$A$1004,"&gt;="&amp;$B30,Log!$A$5:$A$1004,"&lt;"&amp;$B30+7)=0,"",_xlfn.MAXIFS(Log!$E$5:$E$1004,Log!$C$5:$C$1004,"Stiff-leg deadlift",Log!$A$5:$A$1004,"&gt;="&amp;$B30,Log!$A$5:$A$1004,"&lt;"&amp;$B30+7)),"")</f>
        <v/>
      </c>
      <c r="G30" s="28" t="str">
        <f aca="false">IFERROR(IF(SUMIFS(Log!$G$5:$G$1004,Log!$A$5:$A$1004,"&gt;="&amp;$B30,Log!$A$5:$A$1004,"&lt;"&amp;$B30+7)=0,"",SUMIFS(Log!$G$5:$G$1004,Log!$A$5:$A$1004,"&gt;="&amp;$B30,Log!$A$5:$A$1004,"&lt;"&amp;$B30+7)),"")</f>
        <v/>
      </c>
    </row>
    <row r="31" customFormat="false" ht="15" hidden="false" customHeight="false" outlineLevel="0" collapsed="false">
      <c r="A31" s="22" t="n">
        <v>25</v>
      </c>
      <c r="B31" s="23" t="n">
        <f aca="false">$D$4+7*(A31-1)</f>
        <v>46447</v>
      </c>
      <c r="C31" s="24" t="str">
        <f aca="false">IFERROR(IF(_xlfn.MAXIFS(Log!$E$5:$E$1004,Log!$C$5:$C$1004,"Bent-over row",Log!$A$5:$A$1004,"&gt;="&amp;$B31,Log!$A$5:$A$1004,"&lt;"&amp;$B31+7)=0,"",_xlfn.MAXIFS(Log!$E$5:$E$1004,Log!$C$5:$C$1004,"Bent-over row",Log!$A$5:$A$1004,"&gt;="&amp;$B31,Log!$A$5:$A$1004,"&lt;"&amp;$B31+7)),"")</f>
        <v/>
      </c>
      <c r="D31" s="24" t="str">
        <f aca="false">IFERROR(IF(_xlfn.MAXIFS(Log!$E$5:$E$1004,Log!$C$5:$C$1004,"Flat DB press",Log!$A$5:$A$1004,"&gt;="&amp;$B31,Log!$A$5:$A$1004,"&lt;"&amp;$B31+7)=0,"",_xlfn.MAXIFS(Log!$E$5:$E$1004,Log!$C$5:$C$1004,"Flat DB press",Log!$A$5:$A$1004,"&gt;="&amp;$B31,Log!$A$5:$A$1004,"&lt;"&amp;$B31+7)),"")</f>
        <v/>
      </c>
      <c r="E31" s="24" t="str">
        <f aca="false">IFERROR(IF(_xlfn.MAXIFS(Log!$E$5:$E$1004,Log!$C$5:$C$1004,"Squat",Log!$A$5:$A$1004,"&gt;="&amp;$B31,Log!$A$5:$A$1004,"&lt;"&amp;$B31+7)=0,"",_xlfn.MAXIFS(Log!$E$5:$E$1004,Log!$C$5:$C$1004,"Squat",Log!$A$5:$A$1004,"&gt;="&amp;$B31,Log!$A$5:$A$1004,"&lt;"&amp;$B31+7)),"")</f>
        <v/>
      </c>
      <c r="F31" s="24" t="str">
        <f aca="false">IFERROR(IF(_xlfn.MAXIFS(Log!$E$5:$E$1004,Log!$C$5:$C$1004,"Stiff-leg deadlift",Log!$A$5:$A$1004,"&gt;="&amp;$B31,Log!$A$5:$A$1004,"&lt;"&amp;$B31+7)=0,"",_xlfn.MAXIFS(Log!$E$5:$E$1004,Log!$C$5:$C$1004,"Stiff-leg deadlift",Log!$A$5:$A$1004,"&gt;="&amp;$B31,Log!$A$5:$A$1004,"&lt;"&amp;$B31+7)),"")</f>
        <v/>
      </c>
      <c r="G31" s="10" t="str">
        <f aca="false">IFERROR(IF(SUMIFS(Log!$G$5:$G$1004,Log!$A$5:$A$1004,"&gt;="&amp;$B31,Log!$A$5:$A$1004,"&lt;"&amp;$B31+7)=0,"",SUMIFS(Log!$G$5:$G$1004,Log!$A$5:$A$1004,"&gt;="&amp;$B31,Log!$A$5:$A$1004,"&lt;"&amp;$B31+7)),"")</f>
        <v/>
      </c>
    </row>
    <row r="32" customFormat="false" ht="15" hidden="false" customHeight="false" outlineLevel="0" collapsed="false">
      <c r="A32" s="25" t="n">
        <v>26</v>
      </c>
      <c r="B32" s="26" t="n">
        <f aca="false">$D$4+7*(A32-1)</f>
        <v>46454</v>
      </c>
      <c r="C32" s="27" t="str">
        <f aca="false">IFERROR(IF(_xlfn.MAXIFS(Log!$E$5:$E$1004,Log!$C$5:$C$1004,"Bent-over row",Log!$A$5:$A$1004,"&gt;="&amp;$B32,Log!$A$5:$A$1004,"&lt;"&amp;$B32+7)=0,"",_xlfn.MAXIFS(Log!$E$5:$E$1004,Log!$C$5:$C$1004,"Bent-over row",Log!$A$5:$A$1004,"&gt;="&amp;$B32,Log!$A$5:$A$1004,"&lt;"&amp;$B32+7)),"")</f>
        <v/>
      </c>
      <c r="D32" s="27" t="str">
        <f aca="false">IFERROR(IF(_xlfn.MAXIFS(Log!$E$5:$E$1004,Log!$C$5:$C$1004,"Flat DB press",Log!$A$5:$A$1004,"&gt;="&amp;$B32,Log!$A$5:$A$1004,"&lt;"&amp;$B32+7)=0,"",_xlfn.MAXIFS(Log!$E$5:$E$1004,Log!$C$5:$C$1004,"Flat DB press",Log!$A$5:$A$1004,"&gt;="&amp;$B32,Log!$A$5:$A$1004,"&lt;"&amp;$B32+7)),"")</f>
        <v/>
      </c>
      <c r="E32" s="27" t="str">
        <f aca="false">IFERROR(IF(_xlfn.MAXIFS(Log!$E$5:$E$1004,Log!$C$5:$C$1004,"Squat",Log!$A$5:$A$1004,"&gt;="&amp;$B32,Log!$A$5:$A$1004,"&lt;"&amp;$B32+7)=0,"",_xlfn.MAXIFS(Log!$E$5:$E$1004,Log!$C$5:$C$1004,"Squat",Log!$A$5:$A$1004,"&gt;="&amp;$B32,Log!$A$5:$A$1004,"&lt;"&amp;$B32+7)),"")</f>
        <v/>
      </c>
      <c r="F32" s="27" t="str">
        <f aca="false">IFERROR(IF(_xlfn.MAXIFS(Log!$E$5:$E$1004,Log!$C$5:$C$1004,"Stiff-leg deadlift",Log!$A$5:$A$1004,"&gt;="&amp;$B32,Log!$A$5:$A$1004,"&lt;"&amp;$B32+7)=0,"",_xlfn.MAXIFS(Log!$E$5:$E$1004,Log!$C$5:$C$1004,"Stiff-leg deadlift",Log!$A$5:$A$1004,"&gt;="&amp;$B32,Log!$A$5:$A$1004,"&lt;"&amp;$B32+7)),"")</f>
        <v/>
      </c>
      <c r="G32" s="28" t="str">
        <f aca="false">IFERROR(IF(SUMIFS(Log!$G$5:$G$1004,Log!$A$5:$A$1004,"&gt;="&amp;$B32,Log!$A$5:$A$1004,"&lt;"&amp;$B32+7)=0,"",SUMIFS(Log!$G$5:$G$1004,Log!$A$5:$A$1004,"&gt;="&amp;$B32,Log!$A$5:$A$1004,"&lt;"&amp;$B32+7)),"")</f>
        <v/>
      </c>
    </row>
    <row r="35" customFormat="false" ht="15" hidden="false" customHeight="true" outlineLevel="0" collapsed="false">
      <c r="A35" s="29" t="s">
        <v>48</v>
      </c>
      <c r="B35" s="29"/>
      <c r="C35" s="29"/>
      <c r="D35" s="29"/>
      <c r="E35" s="29"/>
      <c r="F35" s="29"/>
      <c r="G35" s="29"/>
    </row>
    <row r="36" customFormat="false" ht="15" hidden="false" customHeight="false" outlineLevel="0" collapsed="false">
      <c r="A36" s="29"/>
      <c r="B36" s="29"/>
      <c r="C36" s="29"/>
      <c r="D36" s="29"/>
      <c r="E36" s="29"/>
      <c r="F36" s="29"/>
      <c r="G36" s="29"/>
    </row>
    <row r="37" customFormat="false" ht="15" hidden="false" customHeight="false" outlineLevel="0" collapsed="false">
      <c r="A37" s="29"/>
      <c r="B37" s="29"/>
      <c r="C37" s="29"/>
      <c r="D37" s="29"/>
      <c r="E37" s="29"/>
      <c r="F37" s="29"/>
      <c r="G37" s="29"/>
    </row>
  </sheetData>
  <mergeCells count="1">
    <mergeCell ref="A35:G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3" min="3" style="0" width="18"/>
    <col collapsed="false" customWidth="true" hidden="false" outlineLevel="0" max="4" min="4" style="0" width="58"/>
  </cols>
  <sheetData>
    <row r="1" customFormat="false" ht="17.35" hidden="false" customHeight="false" outlineLevel="0" collapsed="false">
      <c r="A1" s="1" t="s">
        <v>49</v>
      </c>
    </row>
    <row r="2" customFormat="false" ht="15" hidden="false" customHeight="false" outlineLevel="0" collapsed="false">
      <c r="A2" s="4" t="s">
        <v>50</v>
      </c>
    </row>
    <row r="4" customFormat="false" ht="27.75" hidden="false" customHeight="true" outlineLevel="0" collapsed="false">
      <c r="A4" s="6"/>
      <c r="B4" s="6" t="s">
        <v>51</v>
      </c>
      <c r="C4" s="6" t="s">
        <v>52</v>
      </c>
      <c r="D4" s="6" t="s">
        <v>53</v>
      </c>
    </row>
    <row r="5" customFormat="false" ht="30" hidden="false" customHeight="true" outlineLevel="0" collapsed="false">
      <c r="A5" s="30" t="s">
        <v>54</v>
      </c>
      <c r="B5" s="31" t="s">
        <v>55</v>
      </c>
      <c r="C5" s="31" t="s">
        <v>56</v>
      </c>
      <c r="D5" s="32" t="s">
        <v>57</v>
      </c>
    </row>
    <row r="6" customFormat="false" ht="30" hidden="false" customHeight="true" outlineLevel="0" collapsed="false">
      <c r="A6" s="33" t="s">
        <v>58</v>
      </c>
      <c r="B6" s="34" t="s">
        <v>59</v>
      </c>
      <c r="C6" s="34" t="s">
        <v>60</v>
      </c>
      <c r="D6" s="35" t="s">
        <v>61</v>
      </c>
    </row>
    <row r="7" customFormat="false" ht="30" hidden="false" customHeight="true" outlineLevel="0" collapsed="false">
      <c r="A7" s="30" t="s">
        <v>62</v>
      </c>
      <c r="B7" s="31" t="s">
        <v>63</v>
      </c>
      <c r="C7" s="31" t="s">
        <v>64</v>
      </c>
      <c r="D7" s="32" t="s">
        <v>65</v>
      </c>
    </row>
    <row r="8" customFormat="false" ht="30" hidden="false" customHeight="true" outlineLevel="0" collapsed="false">
      <c r="A8" s="33" t="s">
        <v>66</v>
      </c>
      <c r="B8" s="34" t="s">
        <v>67</v>
      </c>
      <c r="C8" s="34" t="s">
        <v>60</v>
      </c>
      <c r="D8" s="35" t="s">
        <v>68</v>
      </c>
    </row>
    <row r="9" customFormat="false" ht="30" hidden="false" customHeight="true" outlineLevel="0" collapsed="false">
      <c r="A9" s="30" t="s">
        <v>69</v>
      </c>
      <c r="B9" s="31" t="s">
        <v>70</v>
      </c>
      <c r="C9" s="31"/>
      <c r="D9" s="32" t="s">
        <v>71</v>
      </c>
    </row>
    <row r="10" customFormat="false" ht="30" hidden="false" customHeight="true" outlineLevel="0" collapsed="false">
      <c r="A10" s="33" t="s">
        <v>72</v>
      </c>
      <c r="B10" s="34" t="s">
        <v>73</v>
      </c>
      <c r="C10" s="34" t="s">
        <v>73</v>
      </c>
      <c r="D10" s="35" t="s">
        <v>74</v>
      </c>
    </row>
    <row r="11" customFormat="false" ht="30" hidden="false" customHeight="true" outlineLevel="0" collapsed="false">
      <c r="A11" s="30" t="s">
        <v>75</v>
      </c>
      <c r="B11" s="31" t="s">
        <v>76</v>
      </c>
      <c r="C11" s="31"/>
      <c r="D11" s="32" t="s">
        <v>77</v>
      </c>
    </row>
    <row r="14" customFormat="false" ht="15" hidden="false" customHeight="true" outlineLevel="0" collapsed="false">
      <c r="A14" s="36" t="s">
        <v>78</v>
      </c>
      <c r="B14" s="36"/>
      <c r="C14" s="36"/>
      <c r="D14" s="36"/>
    </row>
    <row r="15" customFormat="false" ht="15" hidden="false" customHeight="false" outlineLevel="0" collapsed="false">
      <c r="A15" s="36"/>
      <c r="B15" s="36"/>
      <c r="C15" s="36"/>
      <c r="D15" s="36"/>
    </row>
  </sheetData>
  <mergeCells count="1">
    <mergeCell ref="A14:D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3" min="3" style="0" width="7"/>
    <col collapsed="false" customWidth="true" hidden="false" outlineLevel="0" max="5" min="4" style="0" width="10"/>
    <col collapsed="false" customWidth="true" hidden="false" outlineLevel="0" max="6" min="6" style="0" width="62"/>
    <col collapsed="false" customWidth="true" hidden="false" outlineLevel="0" max="9" min="9" style="0" width="34"/>
    <col collapsed="false" customWidth="true" hidden="false" outlineLevel="0" max="11" min="11" style="0" width="26"/>
  </cols>
  <sheetData>
    <row r="1" customFormat="false" ht="17.35" hidden="false" customHeight="false" outlineLevel="0" collapsed="false">
      <c r="A1" s="1" t="s">
        <v>79</v>
      </c>
    </row>
    <row r="2" customFormat="false" ht="15" hidden="false" customHeight="false" outlineLevel="0" collapsed="false">
      <c r="A2" s="4" t="s">
        <v>80</v>
      </c>
    </row>
    <row r="4" customFormat="false" ht="27.75" hidden="false" customHeight="true" outlineLevel="0" collapsed="false">
      <c r="A4" s="6" t="s">
        <v>21</v>
      </c>
      <c r="B4" s="6" t="s">
        <v>22</v>
      </c>
      <c r="C4" s="6" t="s">
        <v>81</v>
      </c>
      <c r="D4" s="6" t="s">
        <v>25</v>
      </c>
      <c r="E4" s="6" t="s">
        <v>82</v>
      </c>
      <c r="F4" s="6" t="s">
        <v>83</v>
      </c>
      <c r="I4" s="37" t="s">
        <v>84</v>
      </c>
      <c r="K4" s="37" t="s">
        <v>85</v>
      </c>
    </row>
    <row r="5" customFormat="false" ht="25.5" hidden="false" customHeight="true" outlineLevel="0" collapsed="false">
      <c r="A5" s="38" t="s">
        <v>30</v>
      </c>
      <c r="B5" s="38" t="s">
        <v>31</v>
      </c>
      <c r="C5" s="31" t="n">
        <v>3</v>
      </c>
      <c r="D5" s="31" t="s">
        <v>86</v>
      </c>
      <c r="E5" s="31" t="s">
        <v>87</v>
      </c>
      <c r="F5" s="32" t="s">
        <v>88</v>
      </c>
      <c r="I5" s="39" t="s">
        <v>31</v>
      </c>
      <c r="K5" s="39" t="s">
        <v>30</v>
      </c>
    </row>
    <row r="6" customFormat="false" ht="25.5" hidden="false" customHeight="true" outlineLevel="0" collapsed="false">
      <c r="A6" s="40" t="s">
        <v>30</v>
      </c>
      <c r="B6" s="40" t="s">
        <v>89</v>
      </c>
      <c r="C6" s="34" t="n">
        <v>2</v>
      </c>
      <c r="D6" s="34" t="s">
        <v>90</v>
      </c>
      <c r="E6" s="34" t="s">
        <v>87</v>
      </c>
      <c r="F6" s="35" t="s">
        <v>91</v>
      </c>
      <c r="I6" s="39" t="s">
        <v>92</v>
      </c>
      <c r="K6" s="39" t="s">
        <v>93</v>
      </c>
    </row>
    <row r="7" customFormat="false" ht="25.5" hidden="false" customHeight="true" outlineLevel="0" collapsed="false">
      <c r="A7" s="38" t="s">
        <v>30</v>
      </c>
      <c r="B7" s="38" t="s">
        <v>94</v>
      </c>
      <c r="C7" s="31" t="n">
        <v>2</v>
      </c>
      <c r="D7" s="31" t="s">
        <v>90</v>
      </c>
      <c r="E7" s="31" t="s">
        <v>87</v>
      </c>
      <c r="F7" s="32" t="s">
        <v>91</v>
      </c>
      <c r="I7" s="39" t="s">
        <v>95</v>
      </c>
      <c r="K7" s="39" t="s">
        <v>96</v>
      </c>
    </row>
    <row r="8" customFormat="false" ht="25.5" hidden="false" customHeight="true" outlineLevel="0" collapsed="false">
      <c r="A8" s="40" t="s">
        <v>30</v>
      </c>
      <c r="B8" s="40" t="s">
        <v>44</v>
      </c>
      <c r="C8" s="34" t="n">
        <v>3</v>
      </c>
      <c r="D8" s="34" t="s">
        <v>86</v>
      </c>
      <c r="E8" s="34" t="s">
        <v>87</v>
      </c>
      <c r="F8" s="35" t="s">
        <v>97</v>
      </c>
      <c r="I8" s="39" t="s">
        <v>98</v>
      </c>
      <c r="K8" s="39" t="s">
        <v>99</v>
      </c>
    </row>
    <row r="9" customFormat="false" ht="25.5" hidden="false" customHeight="true" outlineLevel="0" collapsed="false">
      <c r="A9" s="38" t="s">
        <v>30</v>
      </c>
      <c r="B9" s="38" t="s">
        <v>100</v>
      </c>
      <c r="C9" s="31" t="n">
        <v>2</v>
      </c>
      <c r="D9" s="31" t="s">
        <v>90</v>
      </c>
      <c r="E9" s="31" t="s">
        <v>87</v>
      </c>
      <c r="F9" s="32" t="s">
        <v>101</v>
      </c>
      <c r="I9" s="39" t="s">
        <v>102</v>
      </c>
      <c r="K9" s="39" t="s">
        <v>103</v>
      </c>
    </row>
    <row r="10" customFormat="false" ht="25.5" hidden="false" customHeight="true" outlineLevel="0" collapsed="false">
      <c r="A10" s="40" t="s">
        <v>30</v>
      </c>
      <c r="B10" s="40" t="s">
        <v>104</v>
      </c>
      <c r="C10" s="34" t="n">
        <v>3</v>
      </c>
      <c r="D10" s="34" t="s">
        <v>90</v>
      </c>
      <c r="E10" s="34" t="s">
        <v>87</v>
      </c>
      <c r="F10" s="35" t="s">
        <v>105</v>
      </c>
      <c r="I10" s="39" t="s">
        <v>106</v>
      </c>
    </row>
    <row r="11" customFormat="false" ht="25.5" hidden="false" customHeight="true" outlineLevel="0" collapsed="false">
      <c r="A11" s="38" t="s">
        <v>30</v>
      </c>
      <c r="B11" s="38" t="s">
        <v>92</v>
      </c>
      <c r="C11" s="31" t="n">
        <v>3</v>
      </c>
      <c r="D11" s="31" t="s">
        <v>90</v>
      </c>
      <c r="E11" s="31" t="s">
        <v>87</v>
      </c>
      <c r="F11" s="32" t="s">
        <v>107</v>
      </c>
      <c r="I11" s="39" t="s">
        <v>108</v>
      </c>
    </row>
    <row r="12" customFormat="false" ht="25.5" hidden="false" customHeight="true" outlineLevel="0" collapsed="false">
      <c r="A12" s="40" t="s">
        <v>30</v>
      </c>
      <c r="B12" s="40" t="s">
        <v>109</v>
      </c>
      <c r="C12" s="34" t="n">
        <v>3</v>
      </c>
      <c r="D12" s="34" t="s">
        <v>90</v>
      </c>
      <c r="E12" s="34" t="s">
        <v>87</v>
      </c>
      <c r="F12" s="35" t="s">
        <v>110</v>
      </c>
      <c r="I12" s="39" t="s">
        <v>111</v>
      </c>
    </row>
    <row r="13" customFormat="false" ht="25.5" hidden="false" customHeight="true" outlineLevel="0" collapsed="false">
      <c r="A13" s="38" t="s">
        <v>93</v>
      </c>
      <c r="B13" s="38" t="s">
        <v>45</v>
      </c>
      <c r="C13" s="31" t="n">
        <v>3</v>
      </c>
      <c r="D13" s="31" t="s">
        <v>86</v>
      </c>
      <c r="E13" s="31" t="s">
        <v>87</v>
      </c>
      <c r="F13" s="32" t="s">
        <v>112</v>
      </c>
      <c r="I13" s="39" t="s">
        <v>44</v>
      </c>
    </row>
    <row r="14" customFormat="false" ht="25.5" hidden="false" customHeight="true" outlineLevel="0" collapsed="false">
      <c r="A14" s="40" t="s">
        <v>93</v>
      </c>
      <c r="B14" s="40" t="s">
        <v>113</v>
      </c>
      <c r="C14" s="34" t="n">
        <v>2</v>
      </c>
      <c r="D14" s="34" t="s">
        <v>90</v>
      </c>
      <c r="E14" s="34" t="s">
        <v>87</v>
      </c>
      <c r="F14" s="35" t="s">
        <v>114</v>
      </c>
      <c r="I14" s="39" t="s">
        <v>115</v>
      </c>
    </row>
    <row r="15" customFormat="false" ht="25.5" hidden="false" customHeight="true" outlineLevel="0" collapsed="false">
      <c r="A15" s="38" t="s">
        <v>93</v>
      </c>
      <c r="B15" s="38" t="s">
        <v>116</v>
      </c>
      <c r="C15" s="31" t="n">
        <v>2</v>
      </c>
      <c r="D15" s="31" t="s">
        <v>90</v>
      </c>
      <c r="E15" s="31" t="s">
        <v>87</v>
      </c>
      <c r="F15" s="32" t="s">
        <v>117</v>
      </c>
      <c r="I15" s="39" t="s">
        <v>118</v>
      </c>
    </row>
    <row r="16" customFormat="false" ht="25.5" hidden="false" customHeight="true" outlineLevel="0" collapsed="false">
      <c r="A16" s="40" t="s">
        <v>93</v>
      </c>
      <c r="B16" s="40" t="s">
        <v>46</v>
      </c>
      <c r="C16" s="34" t="n">
        <v>3</v>
      </c>
      <c r="D16" s="34" t="s">
        <v>119</v>
      </c>
      <c r="E16" s="34" t="s">
        <v>87</v>
      </c>
      <c r="F16" s="35" t="s">
        <v>120</v>
      </c>
      <c r="I16" s="39" t="s">
        <v>113</v>
      </c>
    </row>
    <row r="17" customFormat="false" ht="25.5" hidden="false" customHeight="true" outlineLevel="0" collapsed="false">
      <c r="A17" s="38" t="s">
        <v>93</v>
      </c>
      <c r="B17" s="38" t="s">
        <v>118</v>
      </c>
      <c r="C17" s="31" t="n">
        <v>2</v>
      </c>
      <c r="D17" s="31" t="s">
        <v>90</v>
      </c>
      <c r="E17" s="31" t="s">
        <v>87</v>
      </c>
      <c r="F17" s="32" t="s">
        <v>121</v>
      </c>
      <c r="I17" s="39" t="s">
        <v>122</v>
      </c>
    </row>
    <row r="18" customFormat="false" ht="25.5" hidden="false" customHeight="true" outlineLevel="0" collapsed="false">
      <c r="A18" s="40" t="s">
        <v>93</v>
      </c>
      <c r="B18" s="40" t="s">
        <v>123</v>
      </c>
      <c r="C18" s="34" t="n">
        <v>3</v>
      </c>
      <c r="D18" s="34" t="s">
        <v>90</v>
      </c>
      <c r="E18" s="34" t="s">
        <v>87</v>
      </c>
      <c r="F18" s="35" t="s">
        <v>124</v>
      </c>
      <c r="I18" s="39" t="s">
        <v>125</v>
      </c>
    </row>
    <row r="19" customFormat="false" ht="25.5" hidden="false" customHeight="true" outlineLevel="0" collapsed="false">
      <c r="A19" s="38" t="s">
        <v>93</v>
      </c>
      <c r="B19" s="38" t="s">
        <v>126</v>
      </c>
      <c r="C19" s="31" t="n">
        <v>2</v>
      </c>
      <c r="D19" s="31" t="s">
        <v>90</v>
      </c>
      <c r="E19" s="31" t="s">
        <v>87</v>
      </c>
      <c r="F19" s="32" t="s">
        <v>124</v>
      </c>
      <c r="I19" s="39" t="s">
        <v>127</v>
      </c>
    </row>
    <row r="20" customFormat="false" ht="25.5" hidden="false" customHeight="true" outlineLevel="0" collapsed="false">
      <c r="A20" s="40" t="s">
        <v>96</v>
      </c>
      <c r="B20" s="40" t="s">
        <v>128</v>
      </c>
      <c r="C20" s="34" t="n">
        <v>6</v>
      </c>
      <c r="D20" s="34" t="s">
        <v>129</v>
      </c>
      <c r="E20" s="34" t="s">
        <v>130</v>
      </c>
      <c r="F20" s="35" t="s">
        <v>131</v>
      </c>
      <c r="I20" s="39" t="s">
        <v>132</v>
      </c>
    </row>
    <row r="21" customFormat="false" ht="25.5" hidden="false" customHeight="true" outlineLevel="0" collapsed="false">
      <c r="A21" s="38" t="s">
        <v>96</v>
      </c>
      <c r="B21" s="38" t="s">
        <v>133</v>
      </c>
      <c r="C21" s="31" t="n">
        <v>3</v>
      </c>
      <c r="D21" s="31" t="s">
        <v>134</v>
      </c>
      <c r="E21" s="31" t="s">
        <v>135</v>
      </c>
      <c r="F21" s="32" t="s">
        <v>91</v>
      </c>
      <c r="I21" s="39" t="s">
        <v>136</v>
      </c>
    </row>
    <row r="22" customFormat="false" ht="25.5" hidden="false" customHeight="true" outlineLevel="0" collapsed="false">
      <c r="A22" s="40" t="s">
        <v>96</v>
      </c>
      <c r="B22" s="40" t="s">
        <v>137</v>
      </c>
      <c r="C22" s="34" t="n">
        <v>3</v>
      </c>
      <c r="D22" s="34" t="s">
        <v>134</v>
      </c>
      <c r="E22" s="34" t="s">
        <v>135</v>
      </c>
      <c r="F22" s="35" t="s">
        <v>88</v>
      </c>
      <c r="I22" s="39" t="s">
        <v>138</v>
      </c>
    </row>
    <row r="23" customFormat="false" ht="25.5" hidden="false" customHeight="true" outlineLevel="0" collapsed="false">
      <c r="A23" s="38" t="s">
        <v>96</v>
      </c>
      <c r="B23" s="38" t="s">
        <v>139</v>
      </c>
      <c r="C23" s="31" t="n">
        <v>2</v>
      </c>
      <c r="D23" s="31" t="s">
        <v>140</v>
      </c>
      <c r="E23" s="31" t="s">
        <v>135</v>
      </c>
      <c r="F23" s="32" t="s">
        <v>88</v>
      </c>
      <c r="I23" s="39" t="s">
        <v>141</v>
      </c>
    </row>
    <row r="24" customFormat="false" ht="25.5" hidden="false" customHeight="true" outlineLevel="0" collapsed="false">
      <c r="A24" s="40" t="s">
        <v>96</v>
      </c>
      <c r="B24" s="40" t="s">
        <v>102</v>
      </c>
      <c r="C24" s="34" t="n">
        <v>2</v>
      </c>
      <c r="D24" s="34" t="s">
        <v>142</v>
      </c>
      <c r="E24" s="34" t="s">
        <v>135</v>
      </c>
      <c r="F24" s="35" t="s">
        <v>143</v>
      </c>
      <c r="I24" s="39" t="s">
        <v>133</v>
      </c>
    </row>
    <row r="25" customFormat="false" ht="25.5" hidden="false" customHeight="true" outlineLevel="0" collapsed="false">
      <c r="A25" s="38" t="s">
        <v>96</v>
      </c>
      <c r="B25" s="38" t="s">
        <v>144</v>
      </c>
      <c r="C25" s="31" t="n">
        <v>3</v>
      </c>
      <c r="D25" s="31" t="s">
        <v>134</v>
      </c>
      <c r="E25" s="31" t="s">
        <v>135</v>
      </c>
      <c r="F25" s="32" t="s">
        <v>105</v>
      </c>
      <c r="I25" s="39" t="s">
        <v>145</v>
      </c>
    </row>
    <row r="26" customFormat="false" ht="25.5" hidden="false" customHeight="true" outlineLevel="0" collapsed="false">
      <c r="A26" s="40" t="s">
        <v>96</v>
      </c>
      <c r="B26" s="40" t="s">
        <v>146</v>
      </c>
      <c r="C26" s="34" t="n">
        <v>2</v>
      </c>
      <c r="D26" s="34" t="s">
        <v>140</v>
      </c>
      <c r="E26" s="34" t="s">
        <v>135</v>
      </c>
      <c r="F26" s="35" t="s">
        <v>147</v>
      </c>
      <c r="I26" s="39" t="s">
        <v>148</v>
      </c>
    </row>
    <row r="27" customFormat="false" ht="25.5" hidden="false" customHeight="true" outlineLevel="0" collapsed="false">
      <c r="A27" s="38" t="s">
        <v>96</v>
      </c>
      <c r="B27" s="38" t="s">
        <v>127</v>
      </c>
      <c r="C27" s="31" t="n">
        <v>3</v>
      </c>
      <c r="D27" s="31" t="s">
        <v>149</v>
      </c>
      <c r="E27" s="31" t="s">
        <v>135</v>
      </c>
      <c r="F27" s="32" t="s">
        <v>150</v>
      </c>
      <c r="I27" s="39" t="s">
        <v>128</v>
      </c>
    </row>
    <row r="28" customFormat="false" ht="25.5" hidden="false" customHeight="true" outlineLevel="0" collapsed="false">
      <c r="A28" s="40" t="s">
        <v>99</v>
      </c>
      <c r="B28" s="40" t="s">
        <v>151</v>
      </c>
      <c r="C28" s="34" t="n">
        <v>6</v>
      </c>
      <c r="D28" s="34" t="s">
        <v>129</v>
      </c>
      <c r="E28" s="34" t="s">
        <v>130</v>
      </c>
      <c r="F28" s="35" t="s">
        <v>131</v>
      </c>
      <c r="I28" s="39" t="s">
        <v>144</v>
      </c>
    </row>
    <row r="29" customFormat="false" ht="25.5" hidden="false" customHeight="true" outlineLevel="0" collapsed="false">
      <c r="A29" s="38" t="s">
        <v>99</v>
      </c>
      <c r="B29" s="38" t="s">
        <v>113</v>
      </c>
      <c r="C29" s="31" t="n">
        <v>3</v>
      </c>
      <c r="D29" s="31" t="s">
        <v>134</v>
      </c>
      <c r="E29" s="31" t="s">
        <v>135</v>
      </c>
      <c r="F29" s="32" t="s">
        <v>114</v>
      </c>
      <c r="I29" s="39" t="s">
        <v>104</v>
      </c>
    </row>
    <row r="30" customFormat="false" ht="25.5" hidden="false" customHeight="true" outlineLevel="0" collapsed="false">
      <c r="A30" s="40" t="s">
        <v>99</v>
      </c>
      <c r="B30" s="40" t="s">
        <v>152</v>
      </c>
      <c r="C30" s="34" t="n">
        <v>2</v>
      </c>
      <c r="D30" s="34" t="s">
        <v>140</v>
      </c>
      <c r="E30" s="34" t="s">
        <v>135</v>
      </c>
      <c r="F30" s="35" t="s">
        <v>153</v>
      </c>
      <c r="I30" s="39" t="s">
        <v>137</v>
      </c>
    </row>
    <row r="31" customFormat="false" ht="25.5" hidden="false" customHeight="true" outlineLevel="0" collapsed="false">
      <c r="A31" s="38" t="s">
        <v>99</v>
      </c>
      <c r="B31" s="38" t="s">
        <v>132</v>
      </c>
      <c r="C31" s="31" t="n">
        <v>3</v>
      </c>
      <c r="D31" s="31" t="s">
        <v>142</v>
      </c>
      <c r="E31" s="31" t="s">
        <v>135</v>
      </c>
      <c r="F31" s="32" t="s">
        <v>117</v>
      </c>
      <c r="I31" s="39" t="s">
        <v>126</v>
      </c>
    </row>
    <row r="32" customFormat="false" ht="25.5" hidden="false" customHeight="true" outlineLevel="0" collapsed="false">
      <c r="A32" s="40" t="s">
        <v>99</v>
      </c>
      <c r="B32" s="40" t="s">
        <v>145</v>
      </c>
      <c r="C32" s="34" t="n">
        <v>3</v>
      </c>
      <c r="D32" s="34" t="s">
        <v>134</v>
      </c>
      <c r="E32" s="34" t="s">
        <v>135</v>
      </c>
      <c r="F32" s="35" t="s">
        <v>120</v>
      </c>
      <c r="I32" s="39" t="s">
        <v>154</v>
      </c>
    </row>
    <row r="33" customFormat="false" ht="25.5" hidden="false" customHeight="true" outlineLevel="0" collapsed="false">
      <c r="A33" s="38" t="s">
        <v>99</v>
      </c>
      <c r="B33" s="38" t="s">
        <v>138</v>
      </c>
      <c r="C33" s="31" t="n">
        <v>2</v>
      </c>
      <c r="D33" s="31" t="s">
        <v>140</v>
      </c>
      <c r="E33" s="31" t="s">
        <v>135</v>
      </c>
      <c r="F33" s="32" t="s">
        <v>155</v>
      </c>
      <c r="I33" s="39" t="s">
        <v>109</v>
      </c>
    </row>
    <row r="34" customFormat="false" ht="25.5" hidden="false" customHeight="true" outlineLevel="0" collapsed="false">
      <c r="A34" s="40" t="s">
        <v>99</v>
      </c>
      <c r="B34" s="40" t="s">
        <v>156</v>
      </c>
      <c r="C34" s="34" t="n">
        <v>2</v>
      </c>
      <c r="D34" s="34" t="s">
        <v>142</v>
      </c>
      <c r="E34" s="34" t="s">
        <v>135</v>
      </c>
      <c r="F34" s="35" t="s">
        <v>157</v>
      </c>
      <c r="I34" s="39" t="s">
        <v>158</v>
      </c>
    </row>
    <row r="35" customFormat="false" ht="25.5" hidden="false" customHeight="true" outlineLevel="0" collapsed="false">
      <c r="A35" s="38" t="s">
        <v>99</v>
      </c>
      <c r="B35" s="38" t="s">
        <v>111</v>
      </c>
      <c r="C35" s="31" t="n">
        <v>4</v>
      </c>
      <c r="D35" s="31" t="s">
        <v>159</v>
      </c>
      <c r="E35" s="31" t="s">
        <v>135</v>
      </c>
      <c r="F35" s="32" t="s">
        <v>124</v>
      </c>
      <c r="I35" s="39" t="s">
        <v>45</v>
      </c>
    </row>
    <row r="36" customFormat="false" ht="25.5" hidden="false" customHeight="true" outlineLevel="0" collapsed="false">
      <c r="A36" s="40" t="s">
        <v>99</v>
      </c>
      <c r="B36" s="40" t="s">
        <v>126</v>
      </c>
      <c r="C36" s="34" t="n">
        <v>3</v>
      </c>
      <c r="D36" s="34" t="s">
        <v>142</v>
      </c>
      <c r="E36" s="34" t="s">
        <v>135</v>
      </c>
      <c r="F36" s="35" t="s">
        <v>124</v>
      </c>
      <c r="I36" s="39" t="s">
        <v>151</v>
      </c>
    </row>
    <row r="37" customFormat="false" ht="25.5" hidden="false" customHeight="true" outlineLevel="0" collapsed="false">
      <c r="A37" s="38" t="s">
        <v>103</v>
      </c>
      <c r="B37" s="38" t="s">
        <v>115</v>
      </c>
      <c r="C37" s="31" t="n">
        <v>6</v>
      </c>
      <c r="D37" s="31" t="s">
        <v>129</v>
      </c>
      <c r="E37" s="31" t="s">
        <v>130</v>
      </c>
      <c r="F37" s="32" t="s">
        <v>131</v>
      </c>
      <c r="I37" s="39" t="s">
        <v>123</v>
      </c>
    </row>
    <row r="38" customFormat="false" ht="25.5" hidden="false" customHeight="true" outlineLevel="0" collapsed="false">
      <c r="A38" s="40" t="s">
        <v>103</v>
      </c>
      <c r="B38" s="40" t="s">
        <v>122</v>
      </c>
      <c r="C38" s="34" t="n">
        <v>3</v>
      </c>
      <c r="D38" s="34" t="s">
        <v>134</v>
      </c>
      <c r="E38" s="34" t="s">
        <v>135</v>
      </c>
      <c r="F38" s="35" t="s">
        <v>97</v>
      </c>
      <c r="I38" s="39" t="s">
        <v>46</v>
      </c>
    </row>
    <row r="39" customFormat="false" ht="25.5" hidden="false" customHeight="true" outlineLevel="0" collapsed="false">
      <c r="A39" s="38" t="s">
        <v>103</v>
      </c>
      <c r="B39" s="38" t="s">
        <v>141</v>
      </c>
      <c r="C39" s="31" t="n">
        <v>3</v>
      </c>
      <c r="D39" s="31" t="s">
        <v>140</v>
      </c>
      <c r="E39" s="31" t="s">
        <v>135</v>
      </c>
      <c r="F39" s="32" t="s">
        <v>160</v>
      </c>
      <c r="I39" s="39" t="s">
        <v>161</v>
      </c>
    </row>
    <row r="40" customFormat="false" ht="25.5" hidden="false" customHeight="true" outlineLevel="0" collapsed="false">
      <c r="A40" s="40" t="s">
        <v>103</v>
      </c>
      <c r="B40" s="40" t="s">
        <v>162</v>
      </c>
      <c r="C40" s="34" t="n">
        <v>2</v>
      </c>
      <c r="D40" s="34" t="s">
        <v>142</v>
      </c>
      <c r="E40" s="34" t="s">
        <v>135</v>
      </c>
      <c r="F40" s="35" t="s">
        <v>163</v>
      </c>
      <c r="I40" s="39" t="s">
        <v>100</v>
      </c>
    </row>
    <row r="41" customFormat="false" ht="25.5" hidden="false" customHeight="true" outlineLevel="0" collapsed="false">
      <c r="A41" s="38" t="s">
        <v>103</v>
      </c>
      <c r="B41" s="38" t="s">
        <v>95</v>
      </c>
      <c r="C41" s="31" t="n">
        <v>3</v>
      </c>
      <c r="D41" s="31" t="s">
        <v>134</v>
      </c>
      <c r="E41" s="31" t="s">
        <v>135</v>
      </c>
      <c r="F41" s="32" t="s">
        <v>107</v>
      </c>
      <c r="I41" s="39" t="s">
        <v>89</v>
      </c>
    </row>
    <row r="42" customFormat="false" ht="25.5" hidden="false" customHeight="true" outlineLevel="0" collapsed="false">
      <c r="A42" s="40" t="s">
        <v>103</v>
      </c>
      <c r="B42" s="40" t="s">
        <v>106</v>
      </c>
      <c r="C42" s="34" t="n">
        <v>2</v>
      </c>
      <c r="D42" s="34" t="s">
        <v>140</v>
      </c>
      <c r="E42" s="34" t="s">
        <v>135</v>
      </c>
      <c r="F42" s="35" t="s">
        <v>164</v>
      </c>
    </row>
    <row r="43" customFormat="false" ht="25.5" hidden="false" customHeight="true" outlineLevel="0" collapsed="false">
      <c r="A43" s="38" t="s">
        <v>103</v>
      </c>
      <c r="B43" s="38" t="s">
        <v>165</v>
      </c>
      <c r="C43" s="31" t="n">
        <v>2</v>
      </c>
      <c r="D43" s="31" t="s">
        <v>142</v>
      </c>
      <c r="E43" s="31" t="s">
        <v>135</v>
      </c>
      <c r="F43" s="32" t="s">
        <v>164</v>
      </c>
    </row>
    <row r="44" customFormat="false" ht="25.5" hidden="false" customHeight="true" outlineLevel="0" collapsed="false">
      <c r="A44" s="40" t="s">
        <v>103</v>
      </c>
      <c r="B44" s="40" t="s">
        <v>98</v>
      </c>
      <c r="C44" s="34" t="n">
        <v>3</v>
      </c>
      <c r="D44" s="34" t="s">
        <v>134</v>
      </c>
      <c r="E44" s="34" t="s">
        <v>135</v>
      </c>
      <c r="F44" s="35" t="s">
        <v>166</v>
      </c>
    </row>
    <row r="45" customFormat="false" ht="25.5" hidden="false" customHeight="true" outlineLevel="0" collapsed="false">
      <c r="A45" s="38" t="s">
        <v>103</v>
      </c>
      <c r="B45" s="38" t="s">
        <v>109</v>
      </c>
      <c r="C45" s="31" t="n">
        <v>3</v>
      </c>
      <c r="D45" s="31" t="s">
        <v>140</v>
      </c>
      <c r="E45" s="31" t="s">
        <v>135</v>
      </c>
      <c r="F45" s="32" t="s">
        <v>110</v>
      </c>
    </row>
    <row r="46" customFormat="false" ht="25.5" hidden="false" customHeight="true" outlineLevel="0" collapsed="false">
      <c r="A46" s="40" t="s">
        <v>103</v>
      </c>
      <c r="B46" s="40" t="s">
        <v>167</v>
      </c>
      <c r="C46" s="34" t="n">
        <v>2</v>
      </c>
      <c r="D46" s="34" t="s">
        <v>142</v>
      </c>
      <c r="E46" s="34" t="s">
        <v>135</v>
      </c>
      <c r="F46" s="35" t="s">
        <v>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2026-09-09T23:44:28Z</dcterms:created>
  <dc:creator>openpyxl</dc:creator>
  <dc:description/>
  <dc:language>en-US</dc:language>
  <cp:lastModifiedBy/>
  <dcterms:modified xsi:type="dcterms:W3CDTF">2026-09-09T23:44:29Z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